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10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Cache/pivotCacheRecords3.xml" ContentType="application/vnd.openxmlformats-officedocument.spreadsheetml.pivotCacheRecords+xml"/>
  <Override PartName="/xl/pivotCache/pivotCacheRecords4.xml" ContentType="application/vnd.openxmlformats-officedocument.spreadsheetml.pivotCacheRecords+xml"/>
  <Override PartName="/xl/pivotCache/pivotCacheRecords5.xml" ContentType="application/vnd.openxmlformats-officedocument.spreadsheetml.pivotCacheRecords+xml"/>
  <Override PartName="/xl/pivotCache/pivotCacheRecords6.xml" ContentType="application/vnd.openxmlformats-officedocument.spreadsheetml.pivotCacheRecords+xml"/>
  <Override PartName="/xl/pivotCache/pivotCacheRecords7.xml" ContentType="application/vnd.openxmlformats-officedocument.spreadsheetml.pivotCacheRecords+xml"/>
  <Override PartName="/xl/pivotCache/pivotCacheRecords8.xml" ContentType="application/vnd.openxmlformats-officedocument.spreadsheetml.pivotCacheRecords+xml"/>
  <Override PartName="/xl/pivotCache/pivotCacheRecords9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DATA" sheetId="1" r:id="rId1"/>
    <sheet name="PT" sheetId="2" r:id="rId2"/>
    <sheet name="EXTRA" sheetId="3" r:id="rId3"/>
    <sheet name="DASHBOARD" sheetId="4" r:id="rId4"/>
  </sheets>
  <calcPr calcId="191029"/>
  <pivotCaches>
    <pivotCache cacheId="0" r:id="rId5"/>
    <pivotCache cacheId="1" r:id="rId6"/>
    <pivotCache cacheId="2" r:id="rId7"/>
    <pivotCache cacheId="3" r:id="rId8"/>
    <pivotCache cacheId="4" r:id="rId9"/>
    <pivotCache cacheId="5" r:id="rId10"/>
    <pivotCache cacheId="6" r:id="rId11"/>
    <pivotCache cacheId="7" r:id="rId12"/>
    <pivotCache cacheId="8" r:id="rId13"/>
    <pivotCache cacheId="9" r:id="rId1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<sst xmlns="http://schemas.openxmlformats.org/spreadsheetml/2006/main" count="688" uniqueCount="157">
  <si>
    <t>ID</t>
  </si>
  <si>
    <t>Name</t>
  </si>
  <si>
    <t>Department</t>
  </si>
  <si>
    <t>Job Title</t>
  </si>
  <si>
    <t>Level</t>
  </si>
  <si>
    <t>Location</t>
  </si>
  <si>
    <t>Fixed Pay</t>
  </si>
  <si>
    <t>Variable Pay</t>
  </si>
  <si>
    <t>Total CTC</t>
  </si>
  <si>
    <t>Industry Benchmark</t>
  </si>
  <si>
    <t>Difference %</t>
  </si>
  <si>
    <t>Variable Pay %</t>
  </si>
  <si>
    <t>Fixed Pay %</t>
  </si>
  <si>
    <t>Benchmark Gap</t>
  </si>
  <si>
    <t>Hercule</t>
  </si>
  <si>
    <t>Marketing</t>
  </si>
  <si>
    <t>Director</t>
  </si>
  <si>
    <t>L4</t>
  </si>
  <si>
    <t>Vizag</t>
  </si>
  <si>
    <t>Dionisio</t>
  </si>
  <si>
    <t>Finance</t>
  </si>
  <si>
    <t>Manager</t>
  </si>
  <si>
    <t>L1</t>
  </si>
  <si>
    <t>Mumbai</t>
  </si>
  <si>
    <t>Piotr</t>
  </si>
  <si>
    <t>Analyst</t>
  </si>
  <si>
    <t>L2</t>
  </si>
  <si>
    <t>Boyd</t>
  </si>
  <si>
    <t>Paulo</t>
  </si>
  <si>
    <t>L5</t>
  </si>
  <si>
    <t>Hyderabad</t>
  </si>
  <si>
    <t>Bo</t>
  </si>
  <si>
    <t>HR</t>
  </si>
  <si>
    <t>L3</t>
  </si>
  <si>
    <t>Simmonds</t>
  </si>
  <si>
    <t>Abagael</t>
  </si>
  <si>
    <t>IT</t>
  </si>
  <si>
    <t>Executive</t>
  </si>
  <si>
    <t>Delhi</t>
  </si>
  <si>
    <t>Jobi</t>
  </si>
  <si>
    <t>Bangalore</t>
  </si>
  <si>
    <t>Tera</t>
  </si>
  <si>
    <t>Vivia</t>
  </si>
  <si>
    <t>Auroora</t>
  </si>
  <si>
    <t>Pauline</t>
  </si>
  <si>
    <t>Sales</t>
  </si>
  <si>
    <t>Intern</t>
  </si>
  <si>
    <t>L6</t>
  </si>
  <si>
    <t>Sumner</t>
  </si>
  <si>
    <t>Jamaal</t>
  </si>
  <si>
    <t>Berti</t>
  </si>
  <si>
    <t>Maura</t>
  </si>
  <si>
    <t>Berni</t>
  </si>
  <si>
    <t>Leah</t>
  </si>
  <si>
    <t>Martina</t>
  </si>
  <si>
    <t>Vita</t>
  </si>
  <si>
    <t>Marta</t>
  </si>
  <si>
    <t>Irving</t>
  </si>
  <si>
    <t>Melissa</t>
  </si>
  <si>
    <t>Reynard</t>
  </si>
  <si>
    <t>Guthry</t>
  </si>
  <si>
    <t>Sayers</t>
  </si>
  <si>
    <t>Grover</t>
  </si>
  <si>
    <t>Moira</t>
  </si>
  <si>
    <t>Candide</t>
  </si>
  <si>
    <t>Judah</t>
  </si>
  <si>
    <t>Dedie</t>
  </si>
  <si>
    <t>Deena</t>
  </si>
  <si>
    <t>Alfons</t>
  </si>
  <si>
    <t>Barth</t>
  </si>
  <si>
    <t>Bernette</t>
  </si>
  <si>
    <t>Jay</t>
  </si>
  <si>
    <t>Eugene</t>
  </si>
  <si>
    <t>Tadeas</t>
  </si>
  <si>
    <t>Tory</t>
  </si>
  <si>
    <t>Muire</t>
  </si>
  <si>
    <t>Tally</t>
  </si>
  <si>
    <t>Cullie</t>
  </si>
  <si>
    <t>Vincent</t>
  </si>
  <si>
    <t>Jeralee</t>
  </si>
  <si>
    <t>Fayth</t>
  </si>
  <si>
    <t>Christos</t>
  </si>
  <si>
    <t>Cammi</t>
  </si>
  <si>
    <t>Filberte</t>
  </si>
  <si>
    <t>Antin</t>
  </si>
  <si>
    <t>Anna</t>
  </si>
  <si>
    <t>Drucill</t>
  </si>
  <si>
    <t>Jewelle</t>
  </si>
  <si>
    <t>Randie</t>
  </si>
  <si>
    <t>Stefanie</t>
  </si>
  <si>
    <t>Quinta</t>
  </si>
  <si>
    <t>Marnia</t>
  </si>
  <si>
    <t>Blakeley</t>
  </si>
  <si>
    <t>Gilburt</t>
  </si>
  <si>
    <t>Nikos</t>
  </si>
  <si>
    <t>Chickie</t>
  </si>
  <si>
    <t>Gaven</t>
  </si>
  <si>
    <t>Slade</t>
  </si>
  <si>
    <t>Penni</t>
  </si>
  <si>
    <t>Isidore</t>
  </si>
  <si>
    <t>Ray</t>
  </si>
  <si>
    <t>Wilfred</t>
  </si>
  <si>
    <t>Lorenzo</t>
  </si>
  <si>
    <t>Claretta</t>
  </si>
  <si>
    <t>Roarke</t>
  </si>
  <si>
    <t>Felice</t>
  </si>
  <si>
    <t>Elvis</t>
  </si>
  <si>
    <t>Mirabelle</t>
  </si>
  <si>
    <t>Lion</t>
  </si>
  <si>
    <t>Annmarie</t>
  </si>
  <si>
    <t>Sada</t>
  </si>
  <si>
    <t>Base</t>
  </si>
  <si>
    <t>Lola</t>
  </si>
  <si>
    <t>Bobine</t>
  </si>
  <si>
    <t>Dionis</t>
  </si>
  <si>
    <t>Vernice</t>
  </si>
  <si>
    <t>Francine</t>
  </si>
  <si>
    <t>Freemon</t>
  </si>
  <si>
    <t>Gerianna</t>
  </si>
  <si>
    <t>Ellene</t>
  </si>
  <si>
    <t>Rosette</t>
  </si>
  <si>
    <t>Cornelle</t>
  </si>
  <si>
    <t>Daniel</t>
  </si>
  <si>
    <t>Laryssa</t>
  </si>
  <si>
    <t>Florance</t>
  </si>
  <si>
    <t>Bianca</t>
  </si>
  <si>
    <t>Giulietta</t>
  </si>
  <si>
    <t>Inna</t>
  </si>
  <si>
    <t>Silvester</t>
  </si>
  <si>
    <t>Stesha</t>
  </si>
  <si>
    <t>Beverie</t>
  </si>
  <si>
    <t>Lucais</t>
  </si>
  <si>
    <t>Elysia</t>
  </si>
  <si>
    <t>Lay</t>
  </si>
  <si>
    <t>Average Compensation by Job Role</t>
  </si>
  <si>
    <t>Department-wise Compensation Comparison</t>
  </si>
  <si>
    <t>Row Labels</t>
  </si>
  <si>
    <t>Average of Fixed Pay</t>
  </si>
  <si>
    <t>Average of Total CTC</t>
  </si>
  <si>
    <t>Average of Variable Pay</t>
  </si>
  <si>
    <t>Grand Total</t>
  </si>
  <si>
    <t>Benchmark Gap by Role</t>
  </si>
  <si>
    <t>Pay Mix by Level</t>
  </si>
  <si>
    <t>Average of Industry Benchmark</t>
  </si>
  <si>
    <t>Average of Difference %</t>
  </si>
  <si>
    <t>Average of 	Benchmark Gap</t>
  </si>
  <si>
    <t xml:space="preserve">Average of Variable Pay % </t>
  </si>
  <si>
    <t>Average of 	Fixed Pay %</t>
  </si>
  <si>
    <t>Headcount by Department and Role</t>
  </si>
  <si>
    <t>Count of ID</t>
  </si>
  <si>
    <t>Column Labels</t>
  </si>
  <si>
    <t>EXTRA PIVORT TABLES</t>
  </si>
  <si>
    <t>Sum of Industry Benchmark</t>
  </si>
  <si>
    <t>Sum of Fixed Pay</t>
  </si>
  <si>
    <t>Sum of Variable Pay</t>
  </si>
  <si>
    <t>Sum of Total CTC</t>
  </si>
  <si>
    <t>#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</si>
</sst>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0.0%"/>
  </numFmts>
  <fonts count="23">
    <font>
      <sz val="11"/>
      <name val="Arial"/>
      <charset val="134"/>
    </font>
    <font>
      <sz val="14"/>
      <color theme="1"/>
      <name val="Abadi"/>
      <charset val="134"/>
    </font>
    <font>
      <sz val="1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10" fontId="0" fillId="0" borderId="0" xfId="0" applyNumberFormat="1"/>
    <xf numFmtId="176" fontId="0" fillId="0" borderId="0" xfId="0" applyNumberFormat="1"/>
    <xf numFmtId="0" fontId="2" fillId="0" borderId="0" xfId="0" applyFont="1" applyAlignment="1">
      <alignment horizontal="center"/>
    </xf>
    <xf numFmtId="1" fontId="0" fillId="0" borderId="0" xfId="0" applyNumberFormat="1"/>
    <xf numFmtId="0" fontId="0" fillId="0" borderId="0" xfId="0" applyNumberFormat="1"/>
    <xf numFmtId="0" fontId="0" fillId="0" borderId="0" xfId="0" applyNumberFormat="1" applyAlignment="1">
      <alignment vertical="center"/>
    </xf>
    <xf numFmtId="0" fontId="2" fillId="0" borderId="0" xfId="0" applyFont="1"/>
    <xf numFmtId="10" fontId="0" fillId="0" borderId="0" xfId="0" applyNumberForma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9">
    <dxf>
      <alignment vertical="center"/>
    </dxf>
    <dxf>
      <numFmt numFmtId="1" formatCode="0"/>
    </dxf>
    <dxf>
      <alignment vertical="center"/>
    </dxf>
    <dxf>
      <numFmt numFmtId="10" formatCode="0.00%"/>
      <alignment wrapText="1"/>
    </dxf>
    <dxf>
      <numFmt numFmtId="0" formatCode="General"/>
    </dxf>
    <dxf>
      <numFmt numFmtId="0" formatCode="General"/>
    </dxf>
    <dxf>
      <font>
        <color theme="0"/>
      </font>
      <fill>
        <patternFill patternType="solid">
          <fgColor theme="6"/>
          <bgColor theme="6"/>
        </patternFill>
      </fill>
    </dxf>
    <dxf>
      <font>
        <b val="1"/>
        <color theme="0"/>
      </font>
      <fill>
        <patternFill patternType="solid">
          <fgColor theme="6"/>
          <bgColor theme="6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fill>
        <patternFill patternType="solid">
          <fgColor theme="6" tint="0.799981688894314"/>
          <bgColor theme="6" tint="0.799981688894314"/>
        </patternFill>
      </fill>
    </dxf>
    <dxf>
      <border>
        <left style="thin">
          <color theme="6" tint="0.399975585192419"/>
        </left>
        <right style="thin">
          <color theme="6" tint="0.399975585192419"/>
        </right>
      </border>
    </dxf>
    <dxf>
      <border>
        <top style="thin">
          <color theme="6" tint="0.399975585192419"/>
        </top>
        <bottom style="thin">
          <color theme="6" tint="0.399975585192419"/>
        </bottom>
        <horizontal style="thin">
          <color theme="6" tint="0.399975585192419"/>
        </horizontal>
      </border>
    </dxf>
    <dxf>
      <fill>
        <patternFill patternType="solid">
          <fgColor theme="6" tint="0.599993896298105"/>
          <bgColor theme="6" tint="0.599993896298105"/>
        </patternFill>
      </fill>
    </dxf>
    <dxf>
      <font>
        <b val="1"/>
        <color theme="1"/>
      </font>
      <border>
        <top style="thin">
          <color theme="6" tint="-0.249977111117893"/>
        </top>
        <bottom style="medium">
          <color theme="6" tint="-0.249977111117893"/>
        </bottom>
      </border>
    </dxf>
    <dxf>
      <font>
        <b val="1"/>
        <color theme="0"/>
      </font>
      <fill>
        <patternFill patternType="solid">
          <fgColor theme="6"/>
          <bgColor theme="6"/>
        </patternFill>
      </fill>
      <border>
        <top style="medium">
          <color theme="6" tint="-0.249977111117893"/>
        </top>
      </border>
    </dxf>
    <dxf>
      <font>
        <color theme="1"/>
      </font>
    </dxf>
  </dxfs>
  <tableStyles count="1" defaultTableStyle="TableStyleMedium9" defaultPivotStyle="PivotStyleLight16">
    <tableStyle name="PivotStylePreset5_Accent3" table="0" count="13" xr9:uid="{5AAABF46-8F5C-4A63-A8C5-246345087611}">
      <tableStyleElement type="wholeTable" dxfId="18"/>
      <tableStyleElement type="headerRow" dxfId="17"/>
      <tableStyleElement type="totalRow" dxfId="16"/>
      <tableStyleElement type="firstColumn" dxfId="15"/>
      <tableStyleElement type="firstRowStripe" dxfId="14"/>
      <tableStyleElement type="firstColumnStripe" dxfId="13"/>
      <tableStyleElement type="firstSubtotalColumn" dxfId="12"/>
      <tableStyleElement type="firstSubtotalRow" dxfId="11"/>
      <tableStyleElement type="secondSubtotalRow" dxfId="10"/>
      <tableStyleElement type="firstRowSubheading" dxfId="9"/>
      <tableStyleElement type="secondRowSubheading" dxfId="8"/>
      <tableStyleElement type="pageFieldLabels" dxfId="7"/>
      <tableStyleElement type="pageFieldValues" dxfId="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pivotCacheDefinition" Target="pivotCache/pivotCacheDefinition5.xml"/><Relationship Id="rId8" Type="http://schemas.openxmlformats.org/officeDocument/2006/relationships/pivotCacheDefinition" Target="pivotCache/pivotCacheDefinition4.xml"/><Relationship Id="rId7" Type="http://schemas.openxmlformats.org/officeDocument/2006/relationships/pivotCacheDefinition" Target="pivotCache/pivotCacheDefinition3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pivotCacheDefinition" Target="pivotCache/pivotCacheDefinition10.xml"/><Relationship Id="rId13" Type="http://schemas.openxmlformats.org/officeDocument/2006/relationships/pivotCacheDefinition" Target="pivotCache/pivotCacheDefinition9.xml"/><Relationship Id="rId12" Type="http://schemas.openxmlformats.org/officeDocument/2006/relationships/pivotCacheDefinition" Target="pivotCache/pivotCacheDefinition8.xml"/><Relationship Id="rId11" Type="http://schemas.openxmlformats.org/officeDocument/2006/relationships/pivotCacheDefinition" Target="pivotCache/pivotCacheDefinition7.xml"/><Relationship Id="rId10" Type="http://schemas.openxmlformats.org/officeDocument/2006/relationships/pivotCacheDefinition" Target="pivotCache/pivotCacheDefinition6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[Compensation Benchmarking data .xlsx]PT!PivotTable25</c:name>
    <c:fmtId val="0"/>
  </c:pivotSource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PT!$B$4</c:f>
              <c:strCache>
                <c:ptCount val="1"/>
                <c:pt idx="0">
                  <c:v>Average of Fixed Pay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hueOff val="-1670000"/>
                  </a:schemeClr>
                </a:gs>
              </a:gsLst>
              <a:lin ang="10800000" scaled="0"/>
            </a:gradFill>
            <a:ln>
              <a:gradFill>
                <a:gsLst>
                  <a:gs pos="95000">
                    <a:schemeClr val="accent1">
                      <a:lumMod val="75000"/>
                    </a:schemeClr>
                  </a:gs>
                  <a:gs pos="0">
                    <a:schemeClr val="accent1">
                      <a:lumMod val="75000"/>
                      <a:hueOff val="-1670000"/>
                    </a:schemeClr>
                  </a:gs>
                </a:gsLst>
                <a:lin ang="1080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PT!$A$5:$A$10</c:f>
              <c:strCache>
                <c:ptCount val="5"/>
                <c:pt idx="0">
                  <c:v>Analyst</c:v>
                </c:pt>
                <c:pt idx="1">
                  <c:v>Director</c:v>
                </c:pt>
                <c:pt idx="2">
                  <c:v>Executive</c:v>
                </c:pt>
                <c:pt idx="3">
                  <c:v>Intern</c:v>
                </c:pt>
                <c:pt idx="4">
                  <c:v>Manager</c:v>
                </c:pt>
              </c:strCache>
            </c:strRef>
          </c:cat>
          <c:val>
            <c:numRef>
              <c:f>PT!$B$5:$B$10</c:f>
              <c:numCache>
                <c:formatCode>0</c:formatCode>
                <c:ptCount val="5"/>
                <c:pt idx="0">
                  <c:v>75500</c:v>
                </c:pt>
                <c:pt idx="1">
                  <c:v>73750</c:v>
                </c:pt>
                <c:pt idx="2">
                  <c:v>75263.1578947368</c:v>
                </c:pt>
                <c:pt idx="3">
                  <c:v>70500</c:v>
                </c:pt>
                <c:pt idx="4">
                  <c:v>82380.9523809524</c:v>
                </c:pt>
              </c:numCache>
            </c:numRef>
          </c:val>
        </c:ser>
        <c:ser>
          <c:idx val="1"/>
          <c:order val="1"/>
          <c:tx>
            <c:strRef>
              <c:f>PT!$C$4</c:f>
              <c:strCache>
                <c:ptCount val="1"/>
                <c:pt idx="0">
                  <c:v>Average of Total CTC</c:v>
                </c:pt>
              </c:strCache>
            </c:strRef>
          </c:tx>
          <c:spPr>
            <a:gradFill>
              <a:gsLst>
                <a:gs pos="100000">
                  <a:schemeClr val="accent2"/>
                </a:gs>
                <a:gs pos="0">
                  <a:schemeClr val="accent2">
                    <a:hueOff val="-1670000"/>
                  </a:schemeClr>
                </a:gs>
              </a:gsLst>
              <a:lin ang="10800000" scaled="0"/>
            </a:gradFill>
            <a:ln>
              <a:gradFill>
                <a:gsLst>
                  <a:gs pos="95000">
                    <a:schemeClr val="accent2">
                      <a:lumMod val="75000"/>
                    </a:schemeClr>
                  </a:gs>
                  <a:gs pos="0">
                    <a:schemeClr val="accent2">
                      <a:lumMod val="75000"/>
                      <a:hueOff val="-1670000"/>
                    </a:schemeClr>
                  </a:gs>
                </a:gsLst>
                <a:lin ang="1080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PT!$A$5:$A$10</c:f>
              <c:strCache>
                <c:ptCount val="5"/>
                <c:pt idx="0">
                  <c:v>Analyst</c:v>
                </c:pt>
                <c:pt idx="1">
                  <c:v>Director</c:v>
                </c:pt>
                <c:pt idx="2">
                  <c:v>Executive</c:v>
                </c:pt>
                <c:pt idx="3">
                  <c:v>Intern</c:v>
                </c:pt>
                <c:pt idx="4">
                  <c:v>Manager</c:v>
                </c:pt>
              </c:strCache>
            </c:strRef>
          </c:cat>
          <c:val>
            <c:numRef>
              <c:f>PT!$C$5:$C$10</c:f>
              <c:numCache>
                <c:formatCode>0</c:formatCode>
                <c:ptCount val="5"/>
                <c:pt idx="0">
                  <c:v>91650</c:v>
                </c:pt>
                <c:pt idx="1">
                  <c:v>87400</c:v>
                </c:pt>
                <c:pt idx="2">
                  <c:v>90789.4736842105</c:v>
                </c:pt>
                <c:pt idx="3">
                  <c:v>84800</c:v>
                </c:pt>
                <c:pt idx="4">
                  <c:v>97190.4761904762</c:v>
                </c:pt>
              </c:numCache>
            </c:numRef>
          </c:val>
        </c:ser>
        <c:ser>
          <c:idx val="2"/>
          <c:order val="2"/>
          <c:tx>
            <c:strRef>
              <c:f>PT!$D$4</c:f>
              <c:strCache>
                <c:ptCount val="1"/>
                <c:pt idx="0">
                  <c:v>Average of Variable Pay</c:v>
                </c:pt>
              </c:strCache>
            </c:strRef>
          </c:tx>
          <c:spPr>
            <a:gradFill>
              <a:gsLst>
                <a:gs pos="100000">
                  <a:schemeClr val="accent3"/>
                </a:gs>
                <a:gs pos="0">
                  <a:schemeClr val="accent3">
                    <a:hueOff val="-1670000"/>
                  </a:schemeClr>
                </a:gs>
              </a:gsLst>
              <a:lin ang="10800000" scaled="0"/>
            </a:gradFill>
            <a:ln>
              <a:gradFill>
                <a:gsLst>
                  <a:gs pos="95000">
                    <a:schemeClr val="accent3">
                      <a:lumMod val="75000"/>
                    </a:schemeClr>
                  </a:gs>
                  <a:gs pos="0">
                    <a:schemeClr val="accent3">
                      <a:lumMod val="75000"/>
                      <a:hueOff val="-1670000"/>
                    </a:schemeClr>
                  </a:gs>
                </a:gsLst>
                <a:lin ang="1080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PT!$A$5:$A$10</c:f>
              <c:strCache>
                <c:ptCount val="5"/>
                <c:pt idx="0">
                  <c:v>Analyst</c:v>
                </c:pt>
                <c:pt idx="1">
                  <c:v>Director</c:v>
                </c:pt>
                <c:pt idx="2">
                  <c:v>Executive</c:v>
                </c:pt>
                <c:pt idx="3">
                  <c:v>Intern</c:v>
                </c:pt>
                <c:pt idx="4">
                  <c:v>Manager</c:v>
                </c:pt>
              </c:strCache>
            </c:strRef>
          </c:cat>
          <c:val>
            <c:numRef>
              <c:f>PT!$D$5:$D$10</c:f>
              <c:numCache>
                <c:formatCode>0</c:formatCode>
                <c:ptCount val="5"/>
                <c:pt idx="0">
                  <c:v>16150</c:v>
                </c:pt>
                <c:pt idx="1">
                  <c:v>13650</c:v>
                </c:pt>
                <c:pt idx="2">
                  <c:v>15526.3157894737</c:v>
                </c:pt>
                <c:pt idx="3">
                  <c:v>14300</c:v>
                </c:pt>
                <c:pt idx="4">
                  <c:v>14809.5238095238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89996216"/>
        <c:axId val="228904870"/>
      </c:barChart>
      <c:catAx>
        <c:axId val="89996216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8904870"/>
        <c:crosses val="autoZero"/>
        <c:auto val="1"/>
        <c:lblAlgn val="ctr"/>
        <c:lblOffset val="100"/>
        <c:noMultiLvlLbl val="0"/>
      </c:catAx>
      <c:valAx>
        <c:axId val="228904870"/>
        <c:scaling>
          <c:orientation val="minMax"/>
        </c:scaling>
        <c:delete val="1"/>
        <c:axPos val="b"/>
        <c:numFmt formatCode="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996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f481183-ab61-44a3-85a0-5efbd4f3bf38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[Compensation Benchmarking data .xlsx]PT!PivotTable27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PT!$B$16</c:f>
              <c:strCache>
                <c:ptCount val="1"/>
                <c:pt idx="0">
                  <c:v>Average of Variable Pay % 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hueOff val="-1670000"/>
                    </a:schemeClr>
                  </a:gs>
                  <a:gs pos="10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75000"/>
                        <a:hueOff val="-1670000"/>
                      </a:schemeClr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hueOff val="-1670000"/>
                    </a:schemeClr>
                  </a:gs>
                  <a:gs pos="10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hueOff val="-1670000"/>
                    </a:schemeClr>
                  </a:gs>
                  <a:gs pos="10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75000"/>
                        <a:hueOff val="-1670000"/>
                      </a:schemeClr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hueOff val="-1670000"/>
                    </a:schemeClr>
                  </a:gs>
                  <a:gs pos="10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75000"/>
                        <a:hueOff val="-1670000"/>
                      </a:schemeClr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hueOff val="-1670000"/>
                    </a:schemeClr>
                  </a:gs>
                  <a:gs pos="10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75000"/>
                        <a:hueOff val="-1670000"/>
                      </a:schemeClr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5"/>
            <c:bubble3D val="0"/>
            <c:spPr>
              <a:gradFill>
                <a:gsLst>
                  <a:gs pos="0">
                    <a:schemeClr val="accent6">
                      <a:hueOff val="-1670000"/>
                    </a:schemeClr>
                  </a:gs>
                  <a:gs pos="10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75000"/>
                        <a:hueOff val="-1670000"/>
                      </a:schemeClr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PT!$A$17:$A$23</c:f>
              <c:strCache>
                <c:ptCount val="6"/>
                <c:pt idx="0">
                  <c:v>L1</c:v>
                </c:pt>
                <c:pt idx="1">
                  <c:v>L2</c:v>
                </c:pt>
                <c:pt idx="2">
                  <c:v>L3</c:v>
                </c:pt>
                <c:pt idx="3">
                  <c:v>L4</c:v>
                </c:pt>
                <c:pt idx="4">
                  <c:v>L5</c:v>
                </c:pt>
                <c:pt idx="5">
                  <c:v>L6</c:v>
                </c:pt>
              </c:strCache>
            </c:strRef>
          </c:cat>
          <c:val>
            <c:numRef>
              <c:f>PT!$B$17:$B$23</c:f>
              <c:numCache>
                <c:formatCode>0.0%</c:formatCode>
                <c:ptCount val="6"/>
                <c:pt idx="0">
                  <c:v>0.157672643980624</c:v>
                </c:pt>
                <c:pt idx="1">
                  <c:v>0.168491314257149</c:v>
                </c:pt>
                <c:pt idx="2">
                  <c:v>0.170765738048698</c:v>
                </c:pt>
                <c:pt idx="3">
                  <c:v>0.176492014732556</c:v>
                </c:pt>
                <c:pt idx="4">
                  <c:v>0.164147501437819</c:v>
                </c:pt>
                <c:pt idx="5">
                  <c:v>0.167765879161423</c:v>
                </c:pt>
              </c:numCache>
            </c:numRef>
          </c:val>
        </c:ser>
        <c:ser>
          <c:idx val="1"/>
          <c:order val="1"/>
          <c:tx>
            <c:strRef>
              <c:f>PT!$C$16</c:f>
              <c:strCache>
                <c:ptCount val="1"/>
                <c:pt idx="0">
                  <c:v>Average of 	Fixed Pay %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hueOff val="-1670000"/>
                    </a:schemeClr>
                  </a:gs>
                  <a:gs pos="10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75000"/>
                        <a:hueOff val="-1670000"/>
                      </a:schemeClr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hueOff val="-1670000"/>
                    </a:schemeClr>
                  </a:gs>
                  <a:gs pos="10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hueOff val="-1670000"/>
                    </a:schemeClr>
                  </a:gs>
                  <a:gs pos="10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75000"/>
                        <a:hueOff val="-1670000"/>
                      </a:schemeClr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hueOff val="-1670000"/>
                    </a:schemeClr>
                  </a:gs>
                  <a:gs pos="10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75000"/>
                        <a:hueOff val="-1670000"/>
                      </a:schemeClr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hueOff val="-1670000"/>
                    </a:schemeClr>
                  </a:gs>
                  <a:gs pos="10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75000"/>
                        <a:hueOff val="-1670000"/>
                      </a:schemeClr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5"/>
            <c:bubble3D val="0"/>
            <c:spPr>
              <a:gradFill>
                <a:gsLst>
                  <a:gs pos="0">
                    <a:schemeClr val="accent6">
                      <a:hueOff val="-1670000"/>
                    </a:schemeClr>
                  </a:gs>
                  <a:gs pos="10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75000"/>
                        <a:hueOff val="-1670000"/>
                      </a:schemeClr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PT!$A$17:$A$23</c:f>
              <c:strCache>
                <c:ptCount val="6"/>
                <c:pt idx="0">
                  <c:v>L1</c:v>
                </c:pt>
                <c:pt idx="1">
                  <c:v>L2</c:v>
                </c:pt>
                <c:pt idx="2">
                  <c:v>L3</c:v>
                </c:pt>
                <c:pt idx="3">
                  <c:v>L4</c:v>
                </c:pt>
                <c:pt idx="4">
                  <c:v>L5</c:v>
                </c:pt>
                <c:pt idx="5">
                  <c:v>L6</c:v>
                </c:pt>
              </c:strCache>
            </c:strRef>
          </c:cat>
          <c:val>
            <c:numRef>
              <c:f>PT!$C$17:$C$23</c:f>
              <c:numCache>
                <c:formatCode>0.0%</c:formatCode>
                <c:ptCount val="6"/>
                <c:pt idx="0">
                  <c:v>0.842327356019377</c:v>
                </c:pt>
                <c:pt idx="1">
                  <c:v>0.831508685742851</c:v>
                </c:pt>
                <c:pt idx="2">
                  <c:v>0.829234261951302</c:v>
                </c:pt>
                <c:pt idx="3">
                  <c:v>0.823507985267444</c:v>
                </c:pt>
                <c:pt idx="4">
                  <c:v>0.835852498562181</c:v>
                </c:pt>
                <c:pt idx="5">
                  <c:v>0.832234120838577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a90575b-ae62-4a39-b277-4769e5828e0a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[Compensation Benchmarking data .xlsx]PT!PivotTable26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PT!$H$4</c:f>
              <c:strCache>
                <c:ptCount val="1"/>
                <c:pt idx="0">
                  <c:v>Average of Fixed Pay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PT!$G$5:$G$10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PT!$H$5:$H$10</c:f>
              <c:numCache>
                <c:formatCode>0</c:formatCode>
                <c:ptCount val="5"/>
                <c:pt idx="0">
                  <c:v>77307.6923076923</c:v>
                </c:pt>
                <c:pt idx="1">
                  <c:v>76136.3636363636</c:v>
                </c:pt>
                <c:pt idx="2">
                  <c:v>79705.8823529412</c:v>
                </c:pt>
                <c:pt idx="3">
                  <c:v>72575.7575757576</c:v>
                </c:pt>
                <c:pt idx="4">
                  <c:v>75000</c:v>
                </c:pt>
              </c:numCache>
            </c:numRef>
          </c:val>
        </c:ser>
        <c:ser>
          <c:idx val="1"/>
          <c:order val="1"/>
          <c:tx>
            <c:strRef>
              <c:f>PT!$I$4</c:f>
              <c:strCache>
                <c:ptCount val="1"/>
                <c:pt idx="0">
                  <c:v>Average of Variable Pay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40000"/>
                    <a:lumOff val="60000"/>
                  </a:schemeClr>
                </a:gs>
                <a:gs pos="90000">
                  <a:schemeClr val="accent2"/>
                </a:gs>
              </a:gsLst>
              <a:lin ang="5400000" scaled="0"/>
            </a:gradFill>
            <a:ln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2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PT!$G$5:$G$10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PT!$I$5:$I$10</c:f>
              <c:numCache>
                <c:formatCode>0</c:formatCode>
                <c:ptCount val="5"/>
                <c:pt idx="0">
                  <c:v>15384.6153846154</c:v>
                </c:pt>
                <c:pt idx="1">
                  <c:v>15454.5454545455</c:v>
                </c:pt>
                <c:pt idx="2">
                  <c:v>13941.1764705882</c:v>
                </c:pt>
                <c:pt idx="3">
                  <c:v>14545.4545454545</c:v>
                </c:pt>
                <c:pt idx="4">
                  <c:v>15400</c:v>
                </c:pt>
              </c:numCache>
            </c:numRef>
          </c:val>
        </c:ser>
        <c:ser>
          <c:idx val="2"/>
          <c:order val="2"/>
          <c:tx>
            <c:strRef>
              <c:f>PT!$J$4</c:f>
              <c:strCache>
                <c:ptCount val="1"/>
                <c:pt idx="0">
                  <c:v>Average of Total CTC</c:v>
                </c:pt>
              </c:strCache>
            </c:strRef>
          </c:tx>
          <c:spPr>
            <a:solidFill>
              <a:srgbClr val="92D050"/>
            </a:solidFill>
            <a:ln>
              <a:gradFill>
                <a:gsLst>
                  <a:gs pos="0">
                    <a:schemeClr val="accent3"/>
                  </a:gs>
                  <a:gs pos="100000">
                    <a:schemeClr val="accent3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3">
                  <a:lumMod val="50000"/>
                  <a:alpha val="30000"/>
                </a:schemeClr>
              </a:outerShdw>
            </a:effectLst>
          </c:spPr>
          <c:invertIfNegative val="0"/>
          <c:dPt>
            <c:idx val="0"/>
            <c:invertIfNegative val="0"/>
            <c:bubble3D val="0"/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PT!$G$5:$G$10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PT!$J$5:$J$10</c:f>
              <c:numCache>
                <c:formatCode>0</c:formatCode>
                <c:ptCount val="5"/>
                <c:pt idx="0">
                  <c:v>92692.3076923077</c:v>
                </c:pt>
                <c:pt idx="1">
                  <c:v>91590.9090909091</c:v>
                </c:pt>
                <c:pt idx="2">
                  <c:v>93647.0588235294</c:v>
                </c:pt>
                <c:pt idx="3">
                  <c:v>87121.2121212121</c:v>
                </c:pt>
                <c:pt idx="4">
                  <c:v>90400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6"/>
        <c:overlap val="-32"/>
        <c:axId val="213679876"/>
        <c:axId val="156221973"/>
      </c:barChart>
      <c:catAx>
        <c:axId val="2136798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6221973"/>
        <c:crosses val="autoZero"/>
        <c:auto val="1"/>
        <c:lblAlgn val="ctr"/>
        <c:lblOffset val="100"/>
        <c:noMultiLvlLbl val="0"/>
      </c:catAx>
      <c:valAx>
        <c:axId val="15622197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367987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89dae17-d5e1-40bb-bafe-a79226ac174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[Compensation Benchmarking data .xlsx]PT!PivotTable1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PT!$I$15</c:f>
              <c:strCache>
                <c:ptCount val="1"/>
                <c:pt idx="0">
                  <c:v>Average of Industry Benchmark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PT!$H$16:$H$21</c:f>
              <c:strCache>
                <c:ptCount val="5"/>
                <c:pt idx="0">
                  <c:v>Analyst</c:v>
                </c:pt>
                <c:pt idx="1">
                  <c:v>Director</c:v>
                </c:pt>
                <c:pt idx="2">
                  <c:v>Executive</c:v>
                </c:pt>
                <c:pt idx="3">
                  <c:v>Intern</c:v>
                </c:pt>
                <c:pt idx="4">
                  <c:v>Manager</c:v>
                </c:pt>
              </c:strCache>
            </c:strRef>
          </c:cat>
          <c:val>
            <c:numRef>
              <c:f>PT!$I$16:$I$21</c:f>
              <c:numCache>
                <c:formatCode>0</c:formatCode>
                <c:ptCount val="5"/>
                <c:pt idx="0">
                  <c:v>246875</c:v>
                </c:pt>
                <c:pt idx="1">
                  <c:v>188875</c:v>
                </c:pt>
                <c:pt idx="2">
                  <c:v>181447.368421053</c:v>
                </c:pt>
                <c:pt idx="3">
                  <c:v>240750</c:v>
                </c:pt>
                <c:pt idx="4">
                  <c:v>150238.095238095</c:v>
                </c:pt>
              </c:numCache>
            </c:numRef>
          </c:val>
        </c:ser>
        <c:ser>
          <c:idx val="1"/>
          <c:order val="1"/>
          <c:tx>
            <c:strRef>
              <c:f>PT!$J$15</c:f>
              <c:strCache>
                <c:ptCount val="1"/>
                <c:pt idx="0">
                  <c:v>Average of Total CTC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PT!$H$16:$H$21</c:f>
              <c:strCache>
                <c:ptCount val="5"/>
                <c:pt idx="0">
                  <c:v>Analyst</c:v>
                </c:pt>
                <c:pt idx="1">
                  <c:v>Director</c:v>
                </c:pt>
                <c:pt idx="2">
                  <c:v>Executive</c:v>
                </c:pt>
                <c:pt idx="3">
                  <c:v>Intern</c:v>
                </c:pt>
                <c:pt idx="4">
                  <c:v>Manager</c:v>
                </c:pt>
              </c:strCache>
            </c:strRef>
          </c:cat>
          <c:val>
            <c:numRef>
              <c:f>PT!$J$16:$J$21</c:f>
              <c:numCache>
                <c:formatCode>0</c:formatCode>
                <c:ptCount val="5"/>
                <c:pt idx="0">
                  <c:v>91650</c:v>
                </c:pt>
                <c:pt idx="1">
                  <c:v>87400</c:v>
                </c:pt>
                <c:pt idx="2">
                  <c:v>90789.4736842105</c:v>
                </c:pt>
                <c:pt idx="3">
                  <c:v>84800</c:v>
                </c:pt>
                <c:pt idx="4">
                  <c:v>97190.4761904762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119932"/>
        <c:axId val="647059383"/>
      </c:barChart>
      <c:lineChart>
        <c:grouping val="standard"/>
        <c:varyColors val="0"/>
        <c:ser>
          <c:idx val="3"/>
          <c:order val="3"/>
          <c:tx>
            <c:strRef>
              <c:f>PT!$L$15</c:f>
              <c:strCache>
                <c:ptCount val="1"/>
                <c:pt idx="0">
                  <c:v>Average of 	Benchmark Gap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PT!$H$16:$H$21</c:f>
              <c:strCache>
                <c:ptCount val="5"/>
                <c:pt idx="0">
                  <c:v>Analyst</c:v>
                </c:pt>
                <c:pt idx="1">
                  <c:v>Director</c:v>
                </c:pt>
                <c:pt idx="2">
                  <c:v>Executive</c:v>
                </c:pt>
                <c:pt idx="3">
                  <c:v>Intern</c:v>
                </c:pt>
                <c:pt idx="4">
                  <c:v>Manager</c:v>
                </c:pt>
              </c:strCache>
            </c:strRef>
          </c:cat>
          <c:val>
            <c:numRef>
              <c:f>PT!$L$16:$L$21</c:f>
              <c:numCache>
                <c:formatCode>0</c:formatCode>
                <c:ptCount val="5"/>
                <c:pt idx="0">
                  <c:v>-155225</c:v>
                </c:pt>
                <c:pt idx="1">
                  <c:v>-101475</c:v>
                </c:pt>
                <c:pt idx="2">
                  <c:v>-90657.8947368421</c:v>
                </c:pt>
                <c:pt idx="3">
                  <c:v>-155950</c:v>
                </c:pt>
                <c:pt idx="4">
                  <c:v>-53047.619047619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39119932"/>
        <c:axId val="647059383"/>
      </c:lineChart>
      <c:lineChart>
        <c:grouping val="standard"/>
        <c:varyColors val="0"/>
        <c:ser>
          <c:idx val="2"/>
          <c:order val="2"/>
          <c:tx>
            <c:strRef>
              <c:f>PT!$K$15</c:f>
              <c:strCache>
                <c:ptCount val="1"/>
                <c:pt idx="0">
                  <c:v>Average of Difference %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PT!$H$16:$H$21</c:f>
              <c:strCache>
                <c:ptCount val="5"/>
                <c:pt idx="0">
                  <c:v>Analyst</c:v>
                </c:pt>
                <c:pt idx="1">
                  <c:v>Director</c:v>
                </c:pt>
                <c:pt idx="2">
                  <c:v>Executive</c:v>
                </c:pt>
                <c:pt idx="3">
                  <c:v>Intern</c:v>
                </c:pt>
                <c:pt idx="4">
                  <c:v>Manager</c:v>
                </c:pt>
              </c:strCache>
            </c:strRef>
          </c:cat>
          <c:val>
            <c:numRef>
              <c:f>PT!$K$16:$K$21</c:f>
              <c:numCache>
                <c:formatCode>0.00%</c:formatCode>
                <c:ptCount val="5"/>
                <c:pt idx="0">
                  <c:v>-0.470199797633873</c:v>
                </c:pt>
                <c:pt idx="1">
                  <c:v>-0.441675261585193</c:v>
                </c:pt>
                <c:pt idx="2">
                  <c:v>-0.398812499718232</c:v>
                </c:pt>
                <c:pt idx="3">
                  <c:v>-0.472786567732116</c:v>
                </c:pt>
                <c:pt idx="4">
                  <c:v>-0.320201562106324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15577903"/>
        <c:axId val="708063918"/>
      </c:lineChart>
      <c:catAx>
        <c:axId val="1391199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47059383"/>
        <c:crosses val="autoZero"/>
        <c:auto val="1"/>
        <c:lblAlgn val="ctr"/>
        <c:lblOffset val="100"/>
        <c:noMultiLvlLbl val="0"/>
      </c:catAx>
      <c:valAx>
        <c:axId val="647059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9119932"/>
        <c:crosses val="autoZero"/>
        <c:crossBetween val="between"/>
      </c:valAx>
      <c:catAx>
        <c:axId val="315577903"/>
        <c:scaling>
          <c:orientation val="minMax"/>
        </c:scaling>
        <c:delete val="1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08063918"/>
        <c:crosses val="autoZero"/>
        <c:auto val="1"/>
        <c:lblAlgn val="ctr"/>
        <c:lblOffset val="100"/>
        <c:noMultiLvlLbl val="0"/>
      </c:catAx>
      <c:valAx>
        <c:axId val="708063918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15577903"/>
        <c:crosses val="max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59188d9-8e8e-42c5-9ce0-59553529941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25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10800000" scaled="0"/>
      </a:gradFill>
      <a:ln>
        <a:gradFill>
          <a:gsLst>
            <a:gs pos="95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1080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89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hueOff val="-1670000"/>
            </a:schemeClr>
          </a:gs>
          <a:gs pos="100000">
            <a:schemeClr val="phClr"/>
          </a:gs>
        </a:gsLst>
        <a:lin ang="5400000" scaled="0"/>
      </a:gradFill>
      <a:ln>
        <a:gradFill>
          <a:gsLst>
            <a:gs pos="0">
              <a:schemeClr val="phClr">
                <a:lumMod val="75000"/>
                <a:hueOff val="-1670000"/>
              </a:schemeClr>
            </a:gs>
            <a:gs pos="100000">
              <a:schemeClr val="phClr">
                <a:lumMod val="75000"/>
              </a:schemeClr>
            </a:gs>
          </a:gsLst>
          <a:lin ang="516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350520</xdr:colOff>
      <xdr:row>6</xdr:row>
      <xdr:rowOff>15240</xdr:rowOff>
    </xdr:from>
    <xdr:to>
      <xdr:col>7</xdr:col>
      <xdr:colOff>482600</xdr:colOff>
      <xdr:row>21</xdr:row>
      <xdr:rowOff>129540</xdr:rowOff>
    </xdr:to>
    <xdr:graphicFrame>
      <xdr:nvGraphicFramePr>
        <xdr:cNvPr id="2" name="Average Compensation by Job Role"/>
        <xdr:cNvGraphicFramePr/>
      </xdr:nvGraphicFramePr>
      <xdr:xfrm>
        <a:off x="350520" y="1066800"/>
        <a:ext cx="580136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289560</xdr:colOff>
      <xdr:row>6</xdr:row>
      <xdr:rowOff>0</xdr:rowOff>
    </xdr:from>
    <xdr:to>
      <xdr:col>15</xdr:col>
      <xdr:colOff>421640</xdr:colOff>
      <xdr:row>21</xdr:row>
      <xdr:rowOff>114300</xdr:rowOff>
    </xdr:to>
    <xdr:graphicFrame>
      <xdr:nvGraphicFramePr>
        <xdr:cNvPr id="3" name="Chart 2"/>
        <xdr:cNvGraphicFramePr/>
      </xdr:nvGraphicFramePr>
      <xdr:xfrm>
        <a:off x="6858000" y="105156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434340</xdr:colOff>
      <xdr:row>23</xdr:row>
      <xdr:rowOff>15240</xdr:rowOff>
    </xdr:from>
    <xdr:to>
      <xdr:col>7</xdr:col>
      <xdr:colOff>406400</xdr:colOff>
      <xdr:row>38</xdr:row>
      <xdr:rowOff>129540</xdr:rowOff>
    </xdr:to>
    <xdr:graphicFrame>
      <xdr:nvGraphicFramePr>
        <xdr:cNvPr id="4" name="Chart 3"/>
        <xdr:cNvGraphicFramePr/>
      </xdr:nvGraphicFramePr>
      <xdr:xfrm>
        <a:off x="434340" y="4046220"/>
        <a:ext cx="564134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236220</xdr:colOff>
      <xdr:row>23</xdr:row>
      <xdr:rowOff>68580</xdr:rowOff>
    </xdr:from>
    <xdr:to>
      <xdr:col>15</xdr:col>
      <xdr:colOff>368300</xdr:colOff>
      <xdr:row>39</xdr:row>
      <xdr:rowOff>7620</xdr:rowOff>
    </xdr:to>
    <xdr:graphicFrame>
      <xdr:nvGraphicFramePr>
        <xdr:cNvPr id="5" name="Chart 4"/>
        <xdr:cNvGraphicFramePr/>
      </xdr:nvGraphicFramePr>
      <xdr:xfrm>
        <a:off x="6804660" y="409956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864.4158377315" refreshedBy="sai teja " recordCount="100">
  <cacheSource type="worksheet">
    <worksheetSource name="CB"/>
  </cacheSource>
  <cacheFields count="12">
    <cacheField name="ID" numFmtId="0"/>
    <cacheField name="Name" numFmtId="0"/>
    <cacheField name="Department" numFmtId="0"/>
    <cacheField name="Job Title" numFmtId="0"/>
    <cacheField name="Level" numFmtId="0"/>
    <cacheField name="Location" numFmtId="0">
      <sharedItems count="5">
        <s v="Vizag"/>
        <s v="Mumbai"/>
        <s v="Hyderabad"/>
        <s v="Delhi"/>
        <s v="Bangalore"/>
      </sharedItems>
    </cacheField>
    <cacheField name="Fixed Pay" numFmtId="0"/>
    <cacheField name="Variable Pay" numFmtId="0"/>
    <cacheField name="Total CTC" numFmtId="0"/>
    <cacheField name="Industry Benchmark" numFmtId="0"/>
    <cacheField name="Difference %" numFmtId="10"/>
    <cacheField name="Variable Pay % " numFmtId="176"/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864.4165521991" refreshedBy="sai teja " recordCount="100">
  <cacheSource type="worksheet">
    <worksheetSource name="CB"/>
  </cacheSource>
  <cacheFields count="12">
    <cacheField name="ID" numFmtId="0"/>
    <cacheField name="Name" numFmtId="0"/>
    <cacheField name="Department" numFmtId="0"/>
    <cacheField name="Job Title" numFmtId="0"/>
    <cacheField name="Level" numFmtId="0"/>
    <cacheField name="Location" numFmtId="0">
      <sharedItems count="5">
        <s v="Vizag"/>
        <s v="Mumbai"/>
        <s v="Hyderabad"/>
        <s v="Delhi"/>
        <s v="Bangalore"/>
      </sharedItems>
    </cacheField>
    <cacheField name="Fixed Pay" numFmtId="0"/>
    <cacheField name="Variable Pay" numFmtId="0"/>
    <cacheField name="Total CTC" numFmtId="0"/>
    <cacheField name="Industry Benchmark" numFmtId="0"/>
    <cacheField name="Difference %" numFmtId="10"/>
    <cacheField name="Variable Pay % " numFmtId="176"/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864.4173469907" refreshedBy="sai teja " recordCount="100">
  <cacheSource type="worksheet">
    <worksheetSource name="CB"/>
  </cacheSource>
  <cacheFields count="12">
    <cacheField name="ID" numFmtId="0"/>
    <cacheField name="Name" numFmtId="0">
      <sharedItems count="99">
        <s v="Hercule"/>
        <s v="Dionisio"/>
        <s v="Piotr"/>
        <s v="Boyd"/>
        <s v="Paulo"/>
        <s v="Bo"/>
        <s v="Simmonds"/>
        <s v="Abagael"/>
        <s v="Jobi"/>
        <s v="Tera"/>
        <s v="Vivia"/>
        <s v="Auroora"/>
        <s v="Pauline"/>
        <s v="Sumner"/>
        <s v="Jamaal"/>
        <s v="Berti"/>
        <s v="Maura"/>
        <s v="Berni"/>
        <s v="Leah"/>
        <s v="Martina"/>
        <s v="Vita"/>
        <s v="Marta"/>
        <s v="Irving"/>
        <s v="Melissa"/>
        <s v="Reynard"/>
        <s v="Guthry"/>
        <s v="Sayers"/>
        <s v="Grover"/>
        <s v="Moira"/>
        <s v="Candide"/>
        <s v="Judah"/>
        <s v="Dedie"/>
        <s v="Deena"/>
        <s v="Alfons"/>
        <s v="Barth"/>
        <s v="Bernette"/>
        <s v="Jay"/>
        <s v="Eugene"/>
        <s v="Tadeas"/>
        <s v="Tory"/>
        <s v="Muire"/>
        <s v="Tally"/>
        <s v="Cullie"/>
        <s v="Vincent"/>
        <s v="Jeralee"/>
        <s v="Fayth"/>
        <s v="Christos"/>
        <s v="Cammi"/>
        <s v="Filberte"/>
        <s v="Antin"/>
        <s v="Anna"/>
        <s v="Drucill"/>
        <s v="Jewelle"/>
        <s v="Randie"/>
        <s v="Stefanie"/>
        <s v="Quinta"/>
        <s v="Marnia"/>
        <s v="Blakeley"/>
        <s v="Gilburt"/>
        <s v="Nikos"/>
        <s v="Chickie"/>
        <s v="Gaven"/>
        <s v="Slade"/>
        <s v="Penni"/>
        <s v="Isidore"/>
        <s v="Ray"/>
        <s v="Wilfred"/>
        <s v="Lorenzo"/>
        <s v="Claretta"/>
        <s v="Roarke"/>
        <s v="Felice"/>
        <s v="Elvis"/>
        <s v="Mirabelle"/>
        <s v="Lion"/>
        <s v="Annmarie"/>
        <s v="Sada"/>
        <s v="Base"/>
        <s v="Lola"/>
        <s v="Bobine"/>
        <s v="Dionis"/>
        <s v="Vernice"/>
        <s v="Francine"/>
        <s v="Freemon"/>
        <s v="Gerianna"/>
        <s v="Ellene"/>
        <s v="Rosette"/>
        <s v="Cornelle"/>
        <s v="Daniel"/>
        <s v="Laryssa"/>
        <s v="Florance"/>
        <s v="Bianca"/>
        <s v="Giulietta"/>
        <s v="Inna"/>
        <s v="Silvester"/>
        <s v="Stesha"/>
        <s v="Beverie"/>
        <s v="Lucais"/>
        <s v="Elysia"/>
        <s v="Lay"/>
      </sharedItems>
    </cacheField>
    <cacheField name="Department" numFmtId="0"/>
    <cacheField name="Job Title" numFmtId="0"/>
    <cacheField name="Level" numFmtId="0"/>
    <cacheField name="Location" numFmtId="0">
      <sharedItems count="5">
        <s v="Vizag"/>
        <s v="Mumbai"/>
        <s v="Hyderabad"/>
        <s v="Delhi"/>
        <s v="Bangalore"/>
      </sharedItems>
    </cacheField>
    <cacheField name="Fixed Pay" numFmtId="0"/>
    <cacheField name="Variable Pay" numFmtId="0"/>
    <cacheField name="Total CTC" numFmtId="0"/>
    <cacheField name="Industry Benchmark" numFmtId="0"/>
    <cacheField name="Difference %" numFmtId="10"/>
    <cacheField name="Variable Pay % " numFmtId="176"/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864.4176962963" refreshedBy="sai teja " recordCount="100">
  <cacheSource type="worksheet">
    <worksheetSource name="CB"/>
  </cacheSource>
  <cacheFields count="12">
    <cacheField name="ID" numFmtId="0"/>
    <cacheField name="Name" numFmtId="0">
      <sharedItems count="99">
        <s v="Hercule"/>
        <s v="Dionisio"/>
        <s v="Piotr"/>
        <s v="Boyd"/>
        <s v="Paulo"/>
        <s v="Bo"/>
        <s v="Simmonds"/>
        <s v="Abagael"/>
        <s v="Jobi"/>
        <s v="Tera"/>
        <s v="Vivia"/>
        <s v="Auroora"/>
        <s v="Pauline"/>
        <s v="Sumner"/>
        <s v="Jamaal"/>
        <s v="Berti"/>
        <s v="Maura"/>
        <s v="Berni"/>
        <s v="Leah"/>
        <s v="Martina"/>
        <s v="Vita"/>
        <s v="Marta"/>
        <s v="Irving"/>
        <s v="Melissa"/>
        <s v="Reynard"/>
        <s v="Guthry"/>
        <s v="Sayers"/>
        <s v="Grover"/>
        <s v="Moira"/>
        <s v="Candide"/>
        <s v="Judah"/>
        <s v="Dedie"/>
        <s v="Deena"/>
        <s v="Alfons"/>
        <s v="Barth"/>
        <s v="Bernette"/>
        <s v="Jay"/>
        <s v="Eugene"/>
        <s v="Tadeas"/>
        <s v="Tory"/>
        <s v="Muire"/>
        <s v="Tally"/>
        <s v="Cullie"/>
        <s v="Vincent"/>
        <s v="Jeralee"/>
        <s v="Fayth"/>
        <s v="Christos"/>
        <s v="Cammi"/>
        <s v="Filberte"/>
        <s v="Antin"/>
        <s v="Anna"/>
        <s v="Drucill"/>
        <s v="Jewelle"/>
        <s v="Randie"/>
        <s v="Stefanie"/>
        <s v="Quinta"/>
        <s v="Marnia"/>
        <s v="Blakeley"/>
        <s v="Gilburt"/>
        <s v="Nikos"/>
        <s v="Chickie"/>
        <s v="Gaven"/>
        <s v="Slade"/>
        <s v="Penni"/>
        <s v="Isidore"/>
        <s v="Ray"/>
        <s v="Wilfred"/>
        <s v="Lorenzo"/>
        <s v="Claretta"/>
        <s v="Roarke"/>
        <s v="Felice"/>
        <s v="Elvis"/>
        <s v="Mirabelle"/>
        <s v="Lion"/>
        <s v="Annmarie"/>
        <s v="Sada"/>
        <s v="Base"/>
        <s v="Lola"/>
        <s v="Bobine"/>
        <s v="Dionis"/>
        <s v="Vernice"/>
        <s v="Francine"/>
        <s v="Freemon"/>
        <s v="Gerianna"/>
        <s v="Ellene"/>
        <s v="Rosette"/>
        <s v="Cornelle"/>
        <s v="Daniel"/>
        <s v="Laryssa"/>
        <s v="Florance"/>
        <s v="Bianca"/>
        <s v="Giulietta"/>
        <s v="Inna"/>
        <s v="Silvester"/>
        <s v="Stesha"/>
        <s v="Beverie"/>
        <s v="Lucais"/>
        <s v="Elysia"/>
        <s v="Lay"/>
      </sharedItems>
    </cacheField>
    <cacheField name="Department" numFmtId="0">
      <sharedItems count="5">
        <s v="Marketing"/>
        <s v="Finance"/>
        <s v="HR"/>
        <s v="IT"/>
        <s v="Sales"/>
      </sharedItems>
    </cacheField>
    <cacheField name="Job Title" numFmtId="0"/>
    <cacheField name="Level" numFmtId="0"/>
    <cacheField name="Location" numFmtId="0"/>
    <cacheField name="Fixed Pay" numFmtId="0"/>
    <cacheField name="Variable Pay" numFmtId="0"/>
    <cacheField name="Total CTC" numFmtId="0"/>
    <cacheField name="Industry Benchmark" numFmtId="0"/>
    <cacheField name="Difference %" numFmtId="10"/>
    <cacheField name="Variable Pay % " numFmtId="176"/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864.4179604167" refreshedBy="sai teja " recordCount="100">
  <cacheSource type="worksheet">
    <worksheetSource name="CB"/>
  </cacheSource>
  <cacheFields count="12">
    <cacheField name="ID" numFmtId="0"/>
    <cacheField name="Name" numFmtId="0">
      <sharedItems count="99">
        <s v="Hercule"/>
        <s v="Dionisio"/>
        <s v="Piotr"/>
        <s v="Boyd"/>
        <s v="Paulo"/>
        <s v="Bo"/>
        <s v="Simmonds"/>
        <s v="Abagael"/>
        <s v="Jobi"/>
        <s v="Tera"/>
        <s v="Vivia"/>
        <s v="Auroora"/>
        <s v="Pauline"/>
        <s v="Sumner"/>
        <s v="Jamaal"/>
        <s v="Berti"/>
        <s v="Maura"/>
        <s v="Berni"/>
        <s v="Leah"/>
        <s v="Martina"/>
        <s v="Vita"/>
        <s v="Marta"/>
        <s v="Irving"/>
        <s v="Melissa"/>
        <s v="Reynard"/>
        <s v="Guthry"/>
        <s v="Sayers"/>
        <s v="Grover"/>
        <s v="Moira"/>
        <s v="Candide"/>
        <s v="Judah"/>
        <s v="Dedie"/>
        <s v="Deena"/>
        <s v="Alfons"/>
        <s v="Barth"/>
        <s v="Bernette"/>
        <s v="Jay"/>
        <s v="Eugene"/>
        <s v="Tadeas"/>
        <s v="Tory"/>
        <s v="Muire"/>
        <s v="Tally"/>
        <s v="Cullie"/>
        <s v="Vincent"/>
        <s v="Jeralee"/>
        <s v="Fayth"/>
        <s v="Christos"/>
        <s v="Cammi"/>
        <s v="Filberte"/>
        <s v="Antin"/>
        <s v="Anna"/>
        <s v="Drucill"/>
        <s v="Jewelle"/>
        <s v="Randie"/>
        <s v="Stefanie"/>
        <s v="Quinta"/>
        <s v="Marnia"/>
        <s v="Blakeley"/>
        <s v="Gilburt"/>
        <s v="Nikos"/>
        <s v="Chickie"/>
        <s v="Gaven"/>
        <s v="Slade"/>
        <s v="Penni"/>
        <s v="Isidore"/>
        <s v="Ray"/>
        <s v="Wilfred"/>
        <s v="Lorenzo"/>
        <s v="Claretta"/>
        <s v="Roarke"/>
        <s v="Felice"/>
        <s v="Elvis"/>
        <s v="Mirabelle"/>
        <s v="Lion"/>
        <s v="Annmarie"/>
        <s v="Sada"/>
        <s v="Base"/>
        <s v="Lola"/>
        <s v="Bobine"/>
        <s v="Dionis"/>
        <s v="Vernice"/>
        <s v="Francine"/>
        <s v="Freemon"/>
        <s v="Gerianna"/>
        <s v="Ellene"/>
        <s v="Rosette"/>
        <s v="Cornelle"/>
        <s v="Daniel"/>
        <s v="Laryssa"/>
        <s v="Florance"/>
        <s v="Bianca"/>
        <s v="Giulietta"/>
        <s v="Inna"/>
        <s v="Silvester"/>
        <s v="Stesha"/>
        <s v="Beverie"/>
        <s v="Lucais"/>
        <s v="Elysia"/>
        <s v="Lay"/>
      </sharedItems>
    </cacheField>
    <cacheField name="Department" numFmtId="0"/>
    <cacheField name="Job Title" numFmtId="0">
      <sharedItems count="5">
        <s v="Director"/>
        <s v="Manager"/>
        <s v="Analyst"/>
        <s v="Executive"/>
        <s v="Intern"/>
      </sharedItems>
    </cacheField>
    <cacheField name="Level" numFmtId="0"/>
    <cacheField name="Location" numFmtId="0"/>
    <cacheField name="Fixed Pay" numFmtId="0"/>
    <cacheField name="Variable Pay" numFmtId="0"/>
    <cacheField name="Total CTC" numFmtId="0"/>
    <cacheField name="Industry Benchmark" numFmtId="0"/>
    <cacheField name="Difference %" numFmtId="10"/>
    <cacheField name="Variable Pay % " numFmtId="176"/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864.4183371528" refreshedBy="sai teja " recordCount="100">
  <cacheSource type="worksheet">
    <worksheetSource name="CB"/>
  </cacheSource>
  <cacheFields count="12">
    <cacheField name="ID" numFmtId="0"/>
    <cacheField name="Name" numFmtId="0">
      <sharedItems count="99">
        <s v="Hercule"/>
        <s v="Dionisio"/>
        <s v="Piotr"/>
        <s v="Boyd"/>
        <s v="Paulo"/>
        <s v="Bo"/>
        <s v="Simmonds"/>
        <s v="Abagael"/>
        <s v="Jobi"/>
        <s v="Tera"/>
        <s v="Vivia"/>
        <s v="Auroora"/>
        <s v="Pauline"/>
        <s v="Sumner"/>
        <s v="Jamaal"/>
        <s v="Berti"/>
        <s v="Maura"/>
        <s v="Berni"/>
        <s v="Leah"/>
        <s v="Martina"/>
        <s v="Vita"/>
        <s v="Marta"/>
        <s v="Irving"/>
        <s v="Melissa"/>
        <s v="Reynard"/>
        <s v="Guthry"/>
        <s v="Sayers"/>
        <s v="Grover"/>
        <s v="Moira"/>
        <s v="Candide"/>
        <s v="Judah"/>
        <s v="Dedie"/>
        <s v="Deena"/>
        <s v="Alfons"/>
        <s v="Barth"/>
        <s v="Bernette"/>
        <s v="Jay"/>
        <s v="Eugene"/>
        <s v="Tadeas"/>
        <s v="Tory"/>
        <s v="Muire"/>
        <s v="Tally"/>
        <s v="Cullie"/>
        <s v="Vincent"/>
        <s v="Jeralee"/>
        <s v="Fayth"/>
        <s v="Christos"/>
        <s v="Cammi"/>
        <s v="Filberte"/>
        <s v="Antin"/>
        <s v="Anna"/>
        <s v="Drucill"/>
        <s v="Jewelle"/>
        <s v="Randie"/>
        <s v="Stefanie"/>
        <s v="Quinta"/>
        <s v="Marnia"/>
        <s v="Blakeley"/>
        <s v="Gilburt"/>
        <s v="Nikos"/>
        <s v="Chickie"/>
        <s v="Gaven"/>
        <s v="Slade"/>
        <s v="Penni"/>
        <s v="Isidore"/>
        <s v="Ray"/>
        <s v="Wilfred"/>
        <s v="Lorenzo"/>
        <s v="Claretta"/>
        <s v="Roarke"/>
        <s v="Felice"/>
        <s v="Elvis"/>
        <s v="Mirabelle"/>
        <s v="Lion"/>
        <s v="Annmarie"/>
        <s v="Sada"/>
        <s v="Base"/>
        <s v="Lola"/>
        <s v="Bobine"/>
        <s v="Dionis"/>
        <s v="Vernice"/>
        <s v="Francine"/>
        <s v="Freemon"/>
        <s v="Gerianna"/>
        <s v="Ellene"/>
        <s v="Rosette"/>
        <s v="Cornelle"/>
        <s v="Daniel"/>
        <s v="Laryssa"/>
        <s v="Florance"/>
        <s v="Bianca"/>
        <s v="Giulietta"/>
        <s v="Inna"/>
        <s v="Silvester"/>
        <s v="Stesha"/>
        <s v="Beverie"/>
        <s v="Lucais"/>
        <s v="Elysia"/>
        <s v="Lay"/>
      </sharedItems>
    </cacheField>
    <cacheField name="Department" numFmtId="0"/>
    <cacheField name="Job Title" numFmtId="0">
      <sharedItems count="5">
        <s v="Director"/>
        <s v="Manager"/>
        <s v="Analyst"/>
        <s v="Executive"/>
        <s v="Intern"/>
      </sharedItems>
    </cacheField>
    <cacheField name="Level" numFmtId="0"/>
    <cacheField name="Location" numFmtId="0"/>
    <cacheField name="Fixed Pay" numFmtId="0"/>
    <cacheField name="Variable Pay" numFmtId="0"/>
    <cacheField name="Total CTC" numFmtId="0"/>
    <cacheField name="Industry Benchmark" numFmtId="0"/>
    <cacheField name="Difference %" numFmtId="10"/>
    <cacheField name="Variable Pay % " numFmtId="176"/>
  </cacheFields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864.4188989583" refreshedBy="sai teja " recordCount="100">
  <cacheSource type="worksheet">
    <worksheetSource name="CB"/>
  </cacheSource>
  <cacheFields count="12">
    <cacheField name="ID" numFmtId="0"/>
    <cacheField name="Name" numFmtId="0">
      <sharedItems count="99">
        <s v="Hercule"/>
        <s v="Dionisio"/>
        <s v="Piotr"/>
        <s v="Boyd"/>
        <s v="Paulo"/>
        <s v="Bo"/>
        <s v="Simmonds"/>
        <s v="Abagael"/>
        <s v="Jobi"/>
        <s v="Tera"/>
        <s v="Vivia"/>
        <s v="Auroora"/>
        <s v="Pauline"/>
        <s v="Sumner"/>
        <s v="Jamaal"/>
        <s v="Berti"/>
        <s v="Maura"/>
        <s v="Berni"/>
        <s v="Leah"/>
        <s v="Martina"/>
        <s v="Vita"/>
        <s v="Marta"/>
        <s v="Irving"/>
        <s v="Melissa"/>
        <s v="Reynard"/>
        <s v="Guthry"/>
        <s v="Sayers"/>
        <s v="Grover"/>
        <s v="Moira"/>
        <s v="Candide"/>
        <s v="Judah"/>
        <s v="Dedie"/>
        <s v="Deena"/>
        <s v="Alfons"/>
        <s v="Barth"/>
        <s v="Bernette"/>
        <s v="Jay"/>
        <s v="Eugene"/>
        <s v="Tadeas"/>
        <s v="Tory"/>
        <s v="Muire"/>
        <s v="Tally"/>
        <s v="Cullie"/>
        <s v="Vincent"/>
        <s v="Jeralee"/>
        <s v="Fayth"/>
        <s v="Christos"/>
        <s v="Cammi"/>
        <s v="Filberte"/>
        <s v="Antin"/>
        <s v="Anna"/>
        <s v="Drucill"/>
        <s v="Jewelle"/>
        <s v="Randie"/>
        <s v="Stefanie"/>
        <s v="Quinta"/>
        <s v="Marnia"/>
        <s v="Blakeley"/>
        <s v="Gilburt"/>
        <s v="Nikos"/>
        <s v="Chickie"/>
        <s v="Gaven"/>
        <s v="Slade"/>
        <s v="Penni"/>
        <s v="Isidore"/>
        <s v="Ray"/>
        <s v="Wilfred"/>
        <s v="Lorenzo"/>
        <s v="Claretta"/>
        <s v="Roarke"/>
        <s v="Felice"/>
        <s v="Elvis"/>
        <s v="Mirabelle"/>
        <s v="Lion"/>
        <s v="Annmarie"/>
        <s v="Sada"/>
        <s v="Base"/>
        <s v="Lola"/>
        <s v="Bobine"/>
        <s v="Dionis"/>
        <s v="Vernice"/>
        <s v="Francine"/>
        <s v="Freemon"/>
        <s v="Gerianna"/>
        <s v="Ellene"/>
        <s v="Rosette"/>
        <s v="Cornelle"/>
        <s v="Daniel"/>
        <s v="Laryssa"/>
        <s v="Florance"/>
        <s v="Bianca"/>
        <s v="Giulietta"/>
        <s v="Inna"/>
        <s v="Silvester"/>
        <s v="Stesha"/>
        <s v="Beverie"/>
        <s v="Lucais"/>
        <s v="Elysia"/>
        <s v="Lay"/>
      </sharedItems>
    </cacheField>
    <cacheField name="Department" numFmtId="0">
      <sharedItems count="5">
        <s v="Marketing"/>
        <s v="Finance"/>
        <s v="HR"/>
        <s v="IT"/>
        <s v="Sales"/>
      </sharedItems>
    </cacheField>
    <cacheField name="Job Title" numFmtId="0"/>
    <cacheField name="Level" numFmtId="0"/>
    <cacheField name="Location" numFmtId="0"/>
    <cacheField name="Fixed Pay" numFmtId="0"/>
    <cacheField name="Variable Pay" numFmtId="0"/>
    <cacheField name="Total CTC" numFmtId="0"/>
    <cacheField name="Industry Benchmark" numFmtId="0"/>
    <cacheField name="Difference %" numFmtId="10"/>
    <cacheField name="Variable Pay % " numFmtId="176"/>
  </cacheFields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864.4193996528" refreshedBy="sai teja " recordCount="100">
  <cacheSource type="worksheet">
    <worksheetSource name="CB"/>
  </cacheSource>
  <cacheFields count="12">
    <cacheField name="ID" numFmtId="0"/>
    <cacheField name="Name" numFmtId="0">
      <sharedItems count="99">
        <s v="Hercule"/>
        <s v="Dionisio"/>
        <s v="Piotr"/>
        <s v="Boyd"/>
        <s v="Paulo"/>
        <s v="Bo"/>
        <s v="Simmonds"/>
        <s v="Abagael"/>
        <s v="Jobi"/>
        <s v="Tera"/>
        <s v="Vivia"/>
        <s v="Auroora"/>
        <s v="Pauline"/>
        <s v="Sumner"/>
        <s v="Jamaal"/>
        <s v="Berti"/>
        <s v="Maura"/>
        <s v="Berni"/>
        <s v="Leah"/>
        <s v="Martina"/>
        <s v="Vita"/>
        <s v="Marta"/>
        <s v="Irving"/>
        <s v="Melissa"/>
        <s v="Reynard"/>
        <s v="Guthry"/>
        <s v="Sayers"/>
        <s v="Grover"/>
        <s v="Moira"/>
        <s v="Candide"/>
        <s v="Judah"/>
        <s v="Dedie"/>
        <s v="Deena"/>
        <s v="Alfons"/>
        <s v="Barth"/>
        <s v="Bernette"/>
        <s v="Jay"/>
        <s v="Eugene"/>
        <s v="Tadeas"/>
        <s v="Tory"/>
        <s v="Muire"/>
        <s v="Tally"/>
        <s v="Cullie"/>
        <s v="Vincent"/>
        <s v="Jeralee"/>
        <s v="Fayth"/>
        <s v="Christos"/>
        <s v="Cammi"/>
        <s v="Filberte"/>
        <s v="Antin"/>
        <s v="Anna"/>
        <s v="Drucill"/>
        <s v="Jewelle"/>
        <s v="Randie"/>
        <s v="Stefanie"/>
        <s v="Quinta"/>
        <s v="Marnia"/>
        <s v="Blakeley"/>
        <s v="Gilburt"/>
        <s v="Nikos"/>
        <s v="Chickie"/>
        <s v="Gaven"/>
        <s v="Slade"/>
        <s v="Penni"/>
        <s v="Isidore"/>
        <s v="Ray"/>
        <s v="Wilfred"/>
        <s v="Lorenzo"/>
        <s v="Claretta"/>
        <s v="Roarke"/>
        <s v="Felice"/>
        <s v="Elvis"/>
        <s v="Mirabelle"/>
        <s v="Lion"/>
        <s v="Annmarie"/>
        <s v="Sada"/>
        <s v="Base"/>
        <s v="Lola"/>
        <s v="Bobine"/>
        <s v="Dionis"/>
        <s v="Vernice"/>
        <s v="Francine"/>
        <s v="Freemon"/>
        <s v="Gerianna"/>
        <s v="Ellene"/>
        <s v="Rosette"/>
        <s v="Cornelle"/>
        <s v="Daniel"/>
        <s v="Laryssa"/>
        <s v="Florance"/>
        <s v="Bianca"/>
        <s v="Giulietta"/>
        <s v="Inna"/>
        <s v="Silvester"/>
        <s v="Stesha"/>
        <s v="Beverie"/>
        <s v="Lucais"/>
        <s v="Elysia"/>
        <s v="Lay"/>
      </sharedItems>
    </cacheField>
    <cacheField name="Department" numFmtId="0">
      <sharedItems count="5">
        <s v="Marketing"/>
        <s v="Finance"/>
        <s v="HR"/>
        <s v="IT"/>
        <s v="Sales"/>
      </sharedItems>
    </cacheField>
    <cacheField name="Job Title" numFmtId="0"/>
    <cacheField name="Level" numFmtId="0"/>
    <cacheField name="Location" numFmtId="0"/>
    <cacheField name="Fixed Pay" numFmtId="0"/>
    <cacheField name="Variable Pay" numFmtId="0"/>
    <cacheField name="Total CTC" numFmtId="0"/>
    <cacheField name="Industry Benchmark" numFmtId="0"/>
    <cacheField name="Difference %" numFmtId="10"/>
    <cacheField name="Variable Pay % " numFmtId="176"/>
  </cacheFields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864.419662037" refreshedBy="sai teja " recordCount="100">
  <cacheSource type="worksheet">
    <worksheetSource name="CB"/>
  </cacheSource>
  <cacheFields count="12">
    <cacheField name="ID" numFmtId="0"/>
    <cacheField name="Name" numFmtId="0">
      <sharedItems count="99">
        <s v="Hercule"/>
        <s v="Dionisio"/>
        <s v="Piotr"/>
        <s v="Boyd"/>
        <s v="Paulo"/>
        <s v="Bo"/>
        <s v="Simmonds"/>
        <s v="Abagael"/>
        <s v="Jobi"/>
        <s v="Tera"/>
        <s v="Vivia"/>
        <s v="Auroora"/>
        <s v="Pauline"/>
        <s v="Sumner"/>
        <s v="Jamaal"/>
        <s v="Berti"/>
        <s v="Maura"/>
        <s v="Berni"/>
        <s v="Leah"/>
        <s v="Martina"/>
        <s v="Vita"/>
        <s v="Marta"/>
        <s v="Irving"/>
        <s v="Melissa"/>
        <s v="Reynard"/>
        <s v="Guthry"/>
        <s v="Sayers"/>
        <s v="Grover"/>
        <s v="Moira"/>
        <s v="Candide"/>
        <s v="Judah"/>
        <s v="Dedie"/>
        <s v="Deena"/>
        <s v="Alfons"/>
        <s v="Barth"/>
        <s v="Bernette"/>
        <s v="Jay"/>
        <s v="Eugene"/>
        <s v="Tadeas"/>
        <s v="Tory"/>
        <s v="Muire"/>
        <s v="Tally"/>
        <s v="Cullie"/>
        <s v="Vincent"/>
        <s v="Jeralee"/>
        <s v="Fayth"/>
        <s v="Christos"/>
        <s v="Cammi"/>
        <s v="Filberte"/>
        <s v="Antin"/>
        <s v="Anna"/>
        <s v="Drucill"/>
        <s v="Jewelle"/>
        <s v="Randie"/>
        <s v="Stefanie"/>
        <s v="Quinta"/>
        <s v="Marnia"/>
        <s v="Blakeley"/>
        <s v="Gilburt"/>
        <s v="Nikos"/>
        <s v="Chickie"/>
        <s v="Gaven"/>
        <s v="Slade"/>
        <s v="Penni"/>
        <s v="Isidore"/>
        <s v="Ray"/>
        <s v="Wilfred"/>
        <s v="Lorenzo"/>
        <s v="Claretta"/>
        <s v="Roarke"/>
        <s v="Felice"/>
        <s v="Elvis"/>
        <s v="Mirabelle"/>
        <s v="Lion"/>
        <s v="Annmarie"/>
        <s v="Sada"/>
        <s v="Base"/>
        <s v="Lola"/>
        <s v="Bobine"/>
        <s v="Dionis"/>
        <s v="Vernice"/>
        <s v="Francine"/>
        <s v="Freemon"/>
        <s v="Gerianna"/>
        <s v="Ellene"/>
        <s v="Rosette"/>
        <s v="Cornelle"/>
        <s v="Daniel"/>
        <s v="Laryssa"/>
        <s v="Florance"/>
        <s v="Bianca"/>
        <s v="Giulietta"/>
        <s v="Inna"/>
        <s v="Silvester"/>
        <s v="Stesha"/>
        <s v="Beverie"/>
        <s v="Lucais"/>
        <s v="Elysia"/>
        <s v="Lay"/>
      </sharedItems>
    </cacheField>
    <cacheField name="Department" numFmtId="0"/>
    <cacheField name="Job Title" numFmtId="0">
      <sharedItems count="5">
        <s v="Director"/>
        <s v="Manager"/>
        <s v="Analyst"/>
        <s v="Executive"/>
        <s v="Intern"/>
      </sharedItems>
    </cacheField>
    <cacheField name="Level" numFmtId="0"/>
    <cacheField name="Location" numFmtId="0"/>
    <cacheField name="Fixed Pay" numFmtId="0"/>
    <cacheField name="Variable Pay" numFmtId="0"/>
    <cacheField name="Total CTC" numFmtId="0"/>
    <cacheField name="Industry Benchmark" numFmtId="0"/>
    <cacheField name="Difference %" numFmtId="10"/>
    <cacheField name="Variable Pay % " numFmtId="176"/>
  </cacheFields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864.4566668981" refreshedBy="sai teja " recordCount="100">
  <cacheSource type="worksheet">
    <worksheetSource name="CB"/>
  </cacheSource>
  <cacheFields count="14">
    <cacheField name="ID" numFmtId="0"/>
    <cacheField name="Name" numFmtId="0">
      <sharedItems count="99">
        <s v="Hercule"/>
        <s v="Dionisio"/>
        <s v="Piotr"/>
        <s v="Boyd"/>
        <s v="Paulo"/>
        <s v="Bo"/>
        <s v="Simmonds"/>
        <s v="Abagael"/>
        <s v="Jobi"/>
        <s v="Tera"/>
        <s v="Vivia"/>
        <s v="Auroora"/>
        <s v="Pauline"/>
        <s v="Sumner"/>
        <s v="Jamaal"/>
        <s v="Berti"/>
        <s v="Maura"/>
        <s v="Berni"/>
        <s v="Leah"/>
        <s v="Martina"/>
        <s v="Vita"/>
        <s v="Marta"/>
        <s v="Irving"/>
        <s v="Melissa"/>
        <s v="Reynard"/>
        <s v="Guthry"/>
        <s v="Sayers"/>
        <s v="Grover"/>
        <s v="Moira"/>
        <s v="Candide"/>
        <s v="Judah"/>
        <s v="Dedie"/>
        <s v="Deena"/>
        <s v="Alfons"/>
        <s v="Barth"/>
        <s v="Bernette"/>
        <s v="Jay"/>
        <s v="Eugene"/>
        <s v="Tadeas"/>
        <s v="Tory"/>
        <s v="Muire"/>
        <s v="Tally"/>
        <s v="Cullie"/>
        <s v="Vincent"/>
        <s v="Jeralee"/>
        <s v="Fayth"/>
        <s v="Christos"/>
        <s v="Cammi"/>
        <s v="Filberte"/>
        <s v="Antin"/>
        <s v="Anna"/>
        <s v="Drucill"/>
        <s v="Jewelle"/>
        <s v="Randie"/>
        <s v="Stefanie"/>
        <s v="Quinta"/>
        <s v="Marnia"/>
        <s v="Blakeley"/>
        <s v="Gilburt"/>
        <s v="Nikos"/>
        <s v="Chickie"/>
        <s v="Gaven"/>
        <s v="Slade"/>
        <s v="Penni"/>
        <s v="Isidore"/>
        <s v="Ray"/>
        <s v="Wilfred"/>
        <s v="Lorenzo"/>
        <s v="Claretta"/>
        <s v="Roarke"/>
        <s v="Felice"/>
        <s v="Elvis"/>
        <s v="Mirabelle"/>
        <s v="Lion"/>
        <s v="Annmarie"/>
        <s v="Sada"/>
        <s v="Base"/>
        <s v="Lola"/>
        <s v="Bobine"/>
        <s v="Dionis"/>
        <s v="Vernice"/>
        <s v="Francine"/>
        <s v="Freemon"/>
        <s v="Gerianna"/>
        <s v="Ellene"/>
        <s v="Rosette"/>
        <s v="Cornelle"/>
        <s v="Daniel"/>
        <s v="Laryssa"/>
        <s v="Florance"/>
        <s v="Bianca"/>
        <s v="Giulietta"/>
        <s v="Inna"/>
        <s v="Silvester"/>
        <s v="Stesha"/>
        <s v="Beverie"/>
        <s v="Lucais"/>
        <s v="Elysia"/>
        <s v="Lay"/>
      </sharedItems>
    </cacheField>
    <cacheField name="Department" numFmtId="0">
      <sharedItems count="5">
        <s v="Marketing"/>
        <s v="Finance"/>
        <s v="HR"/>
        <s v="IT"/>
        <s v="Sales"/>
      </sharedItems>
    </cacheField>
    <cacheField name="Job Title" numFmtId="0">
      <sharedItems count="5">
        <s v="Director"/>
        <s v="Manager"/>
        <s v="Analyst"/>
        <s v="Executive"/>
        <s v="Intern"/>
      </sharedItems>
    </cacheField>
    <cacheField name="Level" numFmtId="0">
      <sharedItems count="6">
        <s v="L4"/>
        <s v="L1"/>
        <s v="L2"/>
        <s v="L5"/>
        <s v="L3"/>
        <s v="L6"/>
      </sharedItems>
    </cacheField>
    <cacheField name="Location" numFmtId="0">
      <sharedItems count="5">
        <s v="Vizag"/>
        <s v="Mumbai"/>
        <s v="Hyderabad"/>
        <s v="Delhi"/>
        <s v="Bangalore"/>
      </sharedItems>
    </cacheField>
    <cacheField name="Fixed Pay" numFmtId="0"/>
    <cacheField name="Variable Pay" numFmtId="0"/>
    <cacheField name="Total CTC" numFmtId="0">
      <sharedItems containsSemiMixedTypes="0" containsString="0" containsNumber="1" containsInteger="1" minValue="60000" maxValue="118000" count="40">
        <n v="81000"/>
        <n v="108000"/>
        <n v="100000"/>
        <n v="77000"/>
        <n v="115000"/>
        <n v="67000"/>
        <n v="102000"/>
        <n v="90000"/>
        <n v="79000"/>
        <n v="101000"/>
        <n v="70000"/>
        <n v="98000"/>
        <n v="62000"/>
        <n v="118000"/>
        <n v="107000"/>
        <n v="60000"/>
        <n v="92000"/>
        <n v="87000"/>
        <n v="95000"/>
        <n v="65000"/>
        <n v="105000"/>
        <n v="80000"/>
        <n v="85000"/>
        <n v="82000"/>
        <n v="96000"/>
        <n v="111000"/>
        <n v="93000"/>
        <n v="109000"/>
        <n v="99000"/>
        <n v="88000"/>
        <n v="84000"/>
        <n v="83000"/>
        <n v="75000"/>
        <n v="113000"/>
        <n v="97000"/>
        <n v="74000"/>
        <n v="110000"/>
        <n v="64000"/>
        <n v="104000"/>
        <n v="94000"/>
      </sharedItems>
    </cacheField>
    <cacheField name="Industry Benchmark" numFmtId="0"/>
    <cacheField name="Difference %" numFmtId="10"/>
    <cacheField name="Variable Pay % " numFmtId="176"/>
    <cacheField name="_x0009_Fixed Pay %" numFmtId="176"/>
    <cacheField name="_x0009_Benchmark Gap" numFmtI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1"/>
    <s v="Hercule"/>
    <s v="Marketing"/>
    <s v="Director"/>
    <s v="L4"/>
    <x v="0"/>
    <n v="65000"/>
    <n v="16000"/>
    <n v="81000"/>
    <n v="200000"/>
    <n v="-0.59499999999999997"/>
    <n v="0.19753086419753085"/>
  </r>
  <r>
    <n v="2"/>
    <s v="Dionisio"/>
    <s v="Finance"/>
    <s v="Manager"/>
    <s v="L1"/>
    <x v="1"/>
    <n v="95000"/>
    <n v="13000"/>
    <n v="108000"/>
    <n v="200000"/>
    <n v="-0.46"/>
    <n v="0.12037037037037036"/>
  </r>
  <r>
    <n v="3"/>
    <s v="Piotr"/>
    <s v="Marketing"/>
    <s v="Analyst"/>
    <s v="L2"/>
    <x v="1"/>
    <n v="80000"/>
    <n v="20000"/>
    <n v="100000"/>
    <n v="200000"/>
    <n v="-0.5"/>
    <n v="0.2"/>
  </r>
  <r>
    <n v="4"/>
    <s v="Boyd"/>
    <s v="Marketing"/>
    <s v="Director"/>
    <s v="L4"/>
    <x v="0"/>
    <n v="65000"/>
    <n v="12000"/>
    <n v="77000"/>
    <n v="200000"/>
    <n v="-0.61499999999999999"/>
    <n v="0.15584415584415584"/>
  </r>
  <r>
    <n v="5"/>
    <s v="Paulo"/>
    <s v="Marketing"/>
    <s v="Director"/>
    <s v="L5"/>
    <x v="2"/>
    <n v="100000"/>
    <n v="15000"/>
    <n v="115000"/>
    <n v="135000"/>
    <n v="-0.14814814814814814"/>
    <n v="0.13043478260869565"/>
  </r>
  <r>
    <n v="6"/>
    <s v="Bo"/>
    <s v="HR"/>
    <s v="Director"/>
    <s v="L3"/>
    <x v="2"/>
    <n v="55000"/>
    <n v="12000"/>
    <n v="67000"/>
    <n v="150000"/>
    <n v="-0.55333333333333334"/>
    <n v="0.17910447761194029"/>
  </r>
  <r>
    <n v="7"/>
    <s v="Simmonds"/>
    <s v="Marketing"/>
    <s v="Director"/>
    <s v="L3"/>
    <x v="2"/>
    <n v="90000"/>
    <n v="12000"/>
    <n v="102000"/>
    <n v="150000"/>
    <n v="-0.32"/>
    <n v="0.11764705882352941"/>
  </r>
  <r>
    <n v="8"/>
    <s v="Abagael"/>
    <s v="IT"/>
    <s v="Executive"/>
    <s v="L1"/>
    <x v="3"/>
    <n v="80000"/>
    <n v="10000"/>
    <n v="90000"/>
    <n v="135000"/>
    <n v="-0.33333333333333331"/>
    <n v="0.1111111111111111"/>
  </r>
  <r>
    <n v="9"/>
    <s v="Jobi"/>
    <s v="Marketing"/>
    <s v="Executive"/>
    <s v="L5"/>
    <x v="4"/>
    <n v="65000"/>
    <n v="14000"/>
    <n v="79000"/>
    <n v="135000"/>
    <n v="-0.4148148148148148"/>
    <n v="0.17721518987341772"/>
  </r>
  <r>
    <n v="10"/>
    <s v="Tera"/>
    <s v="IT"/>
    <s v="Executive"/>
    <s v="L3"/>
    <x v="1"/>
    <n v="90000"/>
    <n v="11000"/>
    <n v="101000"/>
    <n v="160000"/>
    <n v="-0.36875000000000002"/>
    <n v="0.10891089108910891"/>
  </r>
  <r>
    <n v="11"/>
    <s v="Vivia"/>
    <s v="Marketing"/>
    <s v="Director"/>
    <s v="L4"/>
    <x v="1"/>
    <n v="55000"/>
    <n v="15000"/>
    <n v="70000"/>
    <n v="140000"/>
    <n v="-0.5"/>
    <n v="0.21428571428571427"/>
  </r>
  <r>
    <n v="12"/>
    <s v="Auroora"/>
    <s v="HR"/>
    <s v="Executive"/>
    <s v="L5"/>
    <x v="4"/>
    <n v="80000"/>
    <n v="18000"/>
    <n v="98000"/>
    <n v="150000"/>
    <n v="-0.34666666666666668"/>
    <n v="0.18367346938775511"/>
  </r>
  <r>
    <n v="13"/>
    <s v="Pauline"/>
    <s v="Sales"/>
    <s v="Intern"/>
    <s v="L6"/>
    <x v="4"/>
    <n v="50000"/>
    <n v="12000"/>
    <n v="62000"/>
    <n v="220000"/>
    <n v="-0.71818181818181814"/>
    <n v="0.19354838709677419"/>
  </r>
  <r>
    <n v="14"/>
    <s v="Sumner"/>
    <s v="Sales"/>
    <s v="Analyst"/>
    <s v="L3"/>
    <x v="3"/>
    <n v="100000"/>
    <n v="18000"/>
    <n v="118000"/>
    <n v="120000"/>
    <n v="-1.6666666666666666E-2"/>
    <n v="0.15254237288135594"/>
  </r>
  <r>
    <n v="15"/>
    <s v="Jamaal"/>
    <s v="Finance"/>
    <s v="Manager"/>
    <s v="L5"/>
    <x v="1"/>
    <n v="75000"/>
    <n v="15000"/>
    <n v="90000"/>
    <n v="120000"/>
    <n v="-0.25"/>
    <n v="0.16666666666666666"/>
  </r>
  <r>
    <n v="16"/>
    <s v="Berti"/>
    <s v="IT"/>
    <s v="Intern"/>
    <s v="L2"/>
    <x v="0"/>
    <n v="65000"/>
    <n v="12000"/>
    <n v="77000"/>
    <n v="160000"/>
    <n v="-0.51875000000000004"/>
    <n v="0.15584415584415584"/>
  </r>
  <r>
    <n v="17"/>
    <s v="Maura"/>
    <s v="HR"/>
    <s v="Executive"/>
    <s v="L1"/>
    <x v="3"/>
    <n v="95000"/>
    <n v="12000"/>
    <n v="107000"/>
    <n v="182500"/>
    <n v="-0.41369863013698632"/>
    <n v="0.11214953271028037"/>
  </r>
  <r>
    <n v="18"/>
    <s v="Berni"/>
    <s v="Marketing"/>
    <s v="Intern"/>
    <s v="L5"/>
    <x v="1"/>
    <n v="50000"/>
    <n v="10000"/>
    <n v="60000"/>
    <n v="120000"/>
    <n v="-0.5"/>
    <n v="0.16666666666666666"/>
  </r>
  <r>
    <n v="19"/>
    <s v="Leah"/>
    <s v="HR"/>
    <s v="Executive"/>
    <s v="L5"/>
    <x v="2"/>
    <n v="65000"/>
    <n v="12000"/>
    <n v="77000"/>
    <n v="182500"/>
    <n v="-0.57808219178082187"/>
    <n v="0.15584415584415584"/>
  </r>
  <r>
    <n v="20"/>
    <s v="Martina"/>
    <s v="IT"/>
    <s v="Executive"/>
    <s v="L5"/>
    <x v="2"/>
    <n v="80000"/>
    <n v="12000"/>
    <n v="92000"/>
    <n v="100000"/>
    <n v="-0.08"/>
    <n v="0.13043478260869565"/>
  </r>
  <r>
    <n v="21"/>
    <s v="Vita"/>
    <s v="Sales"/>
    <s v="Director"/>
    <s v="L6"/>
    <x v="0"/>
    <n v="75000"/>
    <n v="12000"/>
    <n v="87000"/>
    <n v="120000"/>
    <n v="-0.27500000000000002"/>
    <n v="0.13793103448275862"/>
  </r>
  <r>
    <n v="22"/>
    <s v="Marta"/>
    <s v="Marketing"/>
    <s v="Manager"/>
    <s v="L2"/>
    <x v="4"/>
    <n v="95000"/>
    <n v="13000"/>
    <n v="108000"/>
    <n v="200000"/>
    <n v="-0.46"/>
    <n v="0.12037037037037036"/>
  </r>
  <r>
    <n v="23"/>
    <s v="Irving"/>
    <s v="IT"/>
    <s v="Executive"/>
    <s v="L2"/>
    <x v="1"/>
    <n v="65000"/>
    <n v="14000"/>
    <n v="79000"/>
    <n v="160000"/>
    <n v="-0.50624999999999998"/>
    <n v="0.17721518987341772"/>
  </r>
  <r>
    <n v="24"/>
    <s v="Melissa"/>
    <s v="HR"/>
    <s v="Executive"/>
    <s v="L1"/>
    <x v="2"/>
    <n v="80000"/>
    <n v="15000"/>
    <n v="95000"/>
    <n v="140000"/>
    <n v="-0.32142857142857145"/>
    <n v="0.15789473684210525"/>
  </r>
  <r>
    <n v="25"/>
    <s v="Reynard"/>
    <s v="Marketing"/>
    <s v="Executive"/>
    <s v="L3"/>
    <x v="0"/>
    <n v="50000"/>
    <n v="15000"/>
    <n v="65000"/>
    <n v="150000"/>
    <n v="-0.56666666666666665"/>
    <n v="0.23076923076923078"/>
  </r>
  <r>
    <n v="26"/>
    <s v="Guthry"/>
    <s v="Finance"/>
    <s v="Analyst"/>
    <s v="L6"/>
    <x v="1"/>
    <n v="100000"/>
    <n v="18000"/>
    <n v="118000"/>
    <n v="150000"/>
    <n v="-0.21333333333333335"/>
    <n v="0.15254237288135594"/>
  </r>
  <r>
    <n v="27"/>
    <s v="Sayers"/>
    <s v="HR"/>
    <s v="Manager"/>
    <s v="L6"/>
    <x v="0"/>
    <n v="90000"/>
    <n v="15000"/>
    <n v="105000"/>
    <n v="150000"/>
    <n v="-0.3"/>
    <n v="0.14285714285714285"/>
  </r>
  <r>
    <n v="28"/>
    <s v="Grover"/>
    <s v="IT"/>
    <s v="Manager"/>
    <s v="L4"/>
    <x v="3"/>
    <n v="80000"/>
    <n v="12000"/>
    <n v="92000"/>
    <n v="140000"/>
    <n v="-0.34285714285714286"/>
    <n v="0.13043478260869565"/>
  </r>
  <r>
    <n v="29"/>
    <s v="Moira"/>
    <s v="Marketing"/>
    <s v="Intern"/>
    <s v="L6"/>
    <x v="3"/>
    <n v="65000"/>
    <n v="16000"/>
    <n v="81000"/>
    <n v="220000"/>
    <n v="-0.63181818181818183"/>
    <n v="0.19753086419753085"/>
  </r>
  <r>
    <n v="30"/>
    <s v="Candide"/>
    <s v="Marketing"/>
    <s v="Analyst"/>
    <s v="L1"/>
    <x v="3"/>
    <n v="65000"/>
    <n v="12000"/>
    <n v="77000"/>
    <n v="160000"/>
    <n v="-0.51875000000000004"/>
    <n v="0.15584415584415584"/>
  </r>
  <r>
    <n v="31"/>
    <s v="Judah"/>
    <s v="Marketing"/>
    <s v="Analyst"/>
    <s v="L2"/>
    <x v="4"/>
    <n v="80000"/>
    <n v="20000"/>
    <n v="100000"/>
    <n v="200000"/>
    <n v="-0.5"/>
    <n v="0.2"/>
  </r>
  <r>
    <n v="32"/>
    <s v="Dedie"/>
    <s v="Marketing"/>
    <s v="Director"/>
    <s v="L2"/>
    <x v="3"/>
    <n v="65000"/>
    <n v="15000"/>
    <n v="80000"/>
    <n v="200000"/>
    <n v="-0.6"/>
    <n v="0.1875"/>
  </r>
  <r>
    <n v="33"/>
    <s v="Deena"/>
    <s v="HR"/>
    <s v="Manager"/>
    <s v="L2"/>
    <x v="0"/>
    <n v="80000"/>
    <n v="20000"/>
    <n v="100000"/>
    <n v="120000"/>
    <n v="-0.16666666666666666"/>
    <n v="0.2"/>
  </r>
  <r>
    <n v="34"/>
    <s v="Alfons"/>
    <s v="IT"/>
    <s v="Executive"/>
    <s v="L5"/>
    <x v="2"/>
    <n v="65000"/>
    <n v="20000"/>
    <n v="85000"/>
    <n v="100000"/>
    <n v="-0.15"/>
    <n v="0.23529411764705882"/>
  </r>
  <r>
    <n v="35"/>
    <s v="Barth"/>
    <s v="Sales"/>
    <s v="Executive"/>
    <s v="L4"/>
    <x v="4"/>
    <n v="65000"/>
    <n v="17000"/>
    <n v="82000"/>
    <n v="182500"/>
    <n v="-0.55068493150684927"/>
    <n v="0.2073170731707317"/>
  </r>
  <r>
    <n v="36"/>
    <s v="Bernette"/>
    <s v="Marketing"/>
    <s v="Director"/>
    <s v="L6"/>
    <x v="0"/>
    <n v="95000"/>
    <n v="12000"/>
    <n v="107000"/>
    <n v="160000"/>
    <n v="-0.33124999999999999"/>
    <n v="0.11214953271028037"/>
  </r>
  <r>
    <n v="37"/>
    <s v="Jay"/>
    <s v="HR"/>
    <s v="Analyst"/>
    <s v="L3"/>
    <x v="2"/>
    <n v="50000"/>
    <n v="15000"/>
    <n v="65000"/>
    <n v="100000"/>
    <n v="-0.35"/>
    <n v="0.23076923076923078"/>
  </r>
  <r>
    <n v="38"/>
    <s v="Eugene"/>
    <s v="Finance"/>
    <s v="Intern"/>
    <s v="L1"/>
    <x v="1"/>
    <n v="65000"/>
    <n v="12000"/>
    <n v="77000"/>
    <n v="220000"/>
    <n v="-0.65"/>
    <n v="0.15584415584415584"/>
  </r>
  <r>
    <n v="39"/>
    <s v="Tadeas"/>
    <s v="HR"/>
    <s v="Director"/>
    <s v="L1"/>
    <x v="2"/>
    <n v="65000"/>
    <n v="14000"/>
    <n v="79000"/>
    <n v="220000"/>
    <n v="-0.64090909090909087"/>
    <n v="0.17721518987341772"/>
  </r>
  <r>
    <n v="40"/>
    <s v="Tory"/>
    <s v="Marketing"/>
    <s v="Director"/>
    <s v="L6"/>
    <x v="4"/>
    <n v="65000"/>
    <n v="12000"/>
    <n v="77000"/>
    <n v="182500"/>
    <n v="-0.57808219178082187"/>
    <n v="0.15584415584415584"/>
  </r>
  <r>
    <n v="41"/>
    <s v="Muire"/>
    <s v="Sales"/>
    <s v="Analyst"/>
    <s v="L2"/>
    <x v="1"/>
    <n v="80000"/>
    <n v="16000"/>
    <n v="96000"/>
    <n v="220000"/>
    <n v="-0.5636363636363636"/>
    <n v="0.16666666666666666"/>
  </r>
  <r>
    <n v="42"/>
    <s v="Tally"/>
    <s v="Marketing"/>
    <s v="Intern"/>
    <s v="L6"/>
    <x v="0"/>
    <n v="85000"/>
    <n v="15000"/>
    <n v="100000"/>
    <n v="135000"/>
    <n v="-0.25925925925925924"/>
    <n v="0.15"/>
  </r>
  <r>
    <n v="43"/>
    <s v="Cullie"/>
    <s v="Marketing"/>
    <s v="Manager"/>
    <s v="L2"/>
    <x v="3"/>
    <n v="85000"/>
    <n v="20000"/>
    <n v="105000"/>
    <n v="120000"/>
    <n v="-0.125"/>
    <n v="0.19047619047619047"/>
  </r>
  <r>
    <n v="44"/>
    <s v="Vincent"/>
    <s v="Marketing"/>
    <s v="Manager"/>
    <s v="L3"/>
    <x v="1"/>
    <n v="100000"/>
    <n v="11000"/>
    <n v="111000"/>
    <n v="150000"/>
    <n v="-0.26"/>
    <n v="9.90990990990991E-2"/>
  </r>
  <r>
    <n v="45"/>
    <s v="Jeralee"/>
    <s v="IT"/>
    <s v="Analyst"/>
    <s v="L6"/>
    <x v="2"/>
    <n v="95000"/>
    <n v="12000"/>
    <n v="107000"/>
    <n v="750000"/>
    <n v="-0.85733333333333328"/>
    <n v="0.11214953271028037"/>
  </r>
  <r>
    <n v="46"/>
    <s v="Fayth"/>
    <s v="IT"/>
    <s v="Manager"/>
    <s v="L4"/>
    <x v="3"/>
    <n v="90000"/>
    <n v="12000"/>
    <n v="102000"/>
    <n v="100000"/>
    <n v="0.02"/>
    <n v="0.11764705882352941"/>
  </r>
  <r>
    <n v="47"/>
    <s v="Christos"/>
    <s v="IT"/>
    <s v="Manager"/>
    <s v="L6"/>
    <x v="1"/>
    <n v="75000"/>
    <n v="12000"/>
    <n v="87000"/>
    <n v="100000"/>
    <n v="-0.13"/>
    <n v="0.13793103448275862"/>
  </r>
  <r>
    <n v="48"/>
    <s v="Cammi"/>
    <s v="Sales"/>
    <s v="Analyst"/>
    <s v="L5"/>
    <x v="4"/>
    <n v="80000"/>
    <n v="13000"/>
    <n v="93000"/>
    <n v="140000"/>
    <n v="-0.33571428571428569"/>
    <n v="0.13978494623655913"/>
  </r>
  <r>
    <n v="49"/>
    <s v="Filberte"/>
    <s v="HR"/>
    <s v="Executive"/>
    <s v="L5"/>
    <x v="2"/>
    <n v="75000"/>
    <n v="20000"/>
    <n v="95000"/>
    <n v="750000"/>
    <n v="-0.87333333333333329"/>
    <n v="0.21052631578947367"/>
  </r>
  <r>
    <n v="50"/>
    <s v="Antin"/>
    <s v="IT"/>
    <s v="Director"/>
    <s v="L5"/>
    <x v="2"/>
    <n v="95000"/>
    <n v="14000"/>
    <n v="109000"/>
    <n v="140000"/>
    <n v="-0.22142857142857142"/>
    <n v="0.12844036697247707"/>
  </r>
  <r>
    <n v="51"/>
    <s v="Anna"/>
    <s v="Sales"/>
    <s v="Analyst"/>
    <s v="L1"/>
    <x v="0"/>
    <n v="65000"/>
    <n v="20000"/>
    <n v="85000"/>
    <n v="182500"/>
    <n v="-0.53424657534246578"/>
    <n v="0.23529411764705882"/>
  </r>
  <r>
    <n v="52"/>
    <s v="Drucill"/>
    <s v="HR"/>
    <s v="Analyst"/>
    <s v="L3"/>
    <x v="3"/>
    <n v="80000"/>
    <n v="19000"/>
    <n v="99000"/>
    <n v="120000"/>
    <n v="-0.17499999999999999"/>
    <n v="0.19191919191919191"/>
  </r>
  <r>
    <n v="53"/>
    <s v="Jewelle"/>
    <s v="Marketing"/>
    <s v="Manager"/>
    <s v="L3"/>
    <x v="0"/>
    <n v="75000"/>
    <n v="13000"/>
    <n v="88000"/>
    <n v="150000"/>
    <n v="-0.41333333333333333"/>
    <n v="0.14772727272727273"/>
  </r>
  <r>
    <n v="54"/>
    <s v="Randie"/>
    <s v="IT"/>
    <s v="Intern"/>
    <s v="L6"/>
    <x v="3"/>
    <n v="65000"/>
    <n v="15000"/>
    <n v="80000"/>
    <n v="100000"/>
    <n v="-0.2"/>
    <n v="0.1875"/>
  </r>
  <r>
    <n v="55"/>
    <s v="Stefanie"/>
    <s v="IT"/>
    <s v="Manager"/>
    <s v="L2"/>
    <x v="1"/>
    <n v="80000"/>
    <n v="12000"/>
    <n v="92000"/>
    <n v="135000"/>
    <n v="-0.31851851851851853"/>
    <n v="0.13043478260869565"/>
  </r>
  <r>
    <n v="56"/>
    <s v="Quinta"/>
    <s v="IT"/>
    <s v="Director"/>
    <s v="L2"/>
    <x v="2"/>
    <n v="90000"/>
    <n v="18000"/>
    <n v="108000"/>
    <n v="100000"/>
    <n v="0.08"/>
    <n v="0.16666666666666666"/>
  </r>
  <r>
    <n v="57"/>
    <s v="Marnia"/>
    <s v="Finance"/>
    <s v="Analyst"/>
    <s v="L2"/>
    <x v="2"/>
    <n v="95000"/>
    <n v="16000"/>
    <n v="111000"/>
    <n v="182500"/>
    <n v="-0.39178082191780822"/>
    <n v="0.14414414414414414"/>
  </r>
  <r>
    <n v="58"/>
    <s v="Blakeley"/>
    <s v="Sales"/>
    <s v="Executive"/>
    <s v="L4"/>
    <x v="4"/>
    <n v="85000"/>
    <n v="15000"/>
    <n v="100000"/>
    <n v="160000"/>
    <n v="-0.375"/>
    <n v="0.15"/>
  </r>
  <r>
    <n v="59"/>
    <s v="Gilburt"/>
    <s v="IT"/>
    <s v="Intern"/>
    <s v="L1"/>
    <x v="4"/>
    <n v="65000"/>
    <n v="19000"/>
    <n v="84000"/>
    <n v="135000"/>
    <n v="-0.37777777777777777"/>
    <n v="0.22619047619047619"/>
  </r>
  <r>
    <n v="60"/>
    <s v="Nikos"/>
    <s v="HR"/>
    <s v="Manager"/>
    <s v="L6"/>
    <x v="1"/>
    <n v="80000"/>
    <n v="20000"/>
    <n v="100000"/>
    <n v="220000"/>
    <n v="-0.54545454545454541"/>
    <n v="0.2"/>
  </r>
  <r>
    <n v="61"/>
    <s v="Chickie"/>
    <s v="Marketing"/>
    <s v="Manager"/>
    <s v="L4"/>
    <x v="2"/>
    <n v="55000"/>
    <n v="12000"/>
    <n v="67000"/>
    <n v="150000"/>
    <n v="-0.55333333333333334"/>
    <n v="0.17910447761194029"/>
  </r>
  <r>
    <n v="62"/>
    <s v="Gaven"/>
    <s v="HR"/>
    <s v="Intern"/>
    <s v="L4"/>
    <x v="1"/>
    <n v="80000"/>
    <n v="12000"/>
    <n v="92000"/>
    <n v="135000"/>
    <n v="-0.31851851851851853"/>
    <n v="0.13043478260869565"/>
  </r>
  <r>
    <n v="63"/>
    <s v="Slade"/>
    <s v="HR"/>
    <s v="Analyst"/>
    <s v="L2"/>
    <x v="0"/>
    <n v="50000"/>
    <n v="15000"/>
    <n v="65000"/>
    <n v="160000"/>
    <n v="-0.59375"/>
    <n v="0.23076923076923078"/>
  </r>
  <r>
    <n v="64"/>
    <s v="Penni"/>
    <s v="Finance"/>
    <s v="Intern"/>
    <s v="L6"/>
    <x v="3"/>
    <n v="80000"/>
    <n v="13000"/>
    <n v="93000"/>
    <n v="100000"/>
    <n v="-7.0000000000000007E-2"/>
    <n v="0.13978494623655913"/>
  </r>
  <r>
    <n v="65"/>
    <s v="Isidore"/>
    <s v="Marketing"/>
    <s v="Intern"/>
    <s v="L5"/>
    <x v="2"/>
    <n v="65000"/>
    <n v="12000"/>
    <n v="77000"/>
    <n v="160000"/>
    <n v="-0.51875000000000004"/>
    <n v="0.15584415584415584"/>
  </r>
  <r>
    <n v="66"/>
    <s v="Isidore"/>
    <s v="Marketing"/>
    <s v="Intern"/>
    <s v="L6"/>
    <x v="4"/>
    <n v="65000"/>
    <n v="19000"/>
    <n v="84000"/>
    <n v="140000"/>
    <n v="-0.4"/>
    <n v="0.22619047619047619"/>
  </r>
  <r>
    <n v="67"/>
    <s v="Ray"/>
    <s v="Marketing"/>
    <s v="Manager"/>
    <s v="L3"/>
    <x v="3"/>
    <n v="85000"/>
    <n v="15000"/>
    <n v="100000"/>
    <n v="120000"/>
    <n v="-0.16666666666666666"/>
    <n v="0.15"/>
  </r>
  <r>
    <n v="68"/>
    <s v="Wilfred"/>
    <s v="Sales"/>
    <s v="Manager"/>
    <s v="L3"/>
    <x v="2"/>
    <n v="80000"/>
    <n v="12000"/>
    <n v="92000"/>
    <n v="120000"/>
    <n v="-0.23333333333333334"/>
    <n v="0.13043478260869565"/>
  </r>
  <r>
    <n v="69"/>
    <s v="Lorenzo"/>
    <s v="Marketing"/>
    <s v="Intern"/>
    <s v="L6"/>
    <x v="2"/>
    <n v="70000"/>
    <n v="18000"/>
    <n v="88000"/>
    <n v="120000"/>
    <n v="-0.26666666666666666"/>
    <n v="0.20454545454545456"/>
  </r>
  <r>
    <n v="70"/>
    <s v="Claretta"/>
    <s v="Sales"/>
    <s v="Executive"/>
    <s v="L4"/>
    <x v="0"/>
    <n v="65000"/>
    <n v="18000"/>
    <n v="83000"/>
    <n v="120000"/>
    <n v="-0.30833333333333335"/>
    <n v="0.21686746987951808"/>
  </r>
  <r>
    <n v="71"/>
    <s v="Roarke"/>
    <s v="HR"/>
    <s v="Executive"/>
    <s v="L3"/>
    <x v="1"/>
    <n v="85000"/>
    <n v="16000"/>
    <n v="101000"/>
    <n v="120000"/>
    <n v="-0.15833333333333333"/>
    <n v="0.15841584158415842"/>
  </r>
  <r>
    <n v="72"/>
    <s v="Felice"/>
    <s v="Finance"/>
    <s v="Manager"/>
    <s v="L3"/>
    <x v="2"/>
    <n v="55000"/>
    <n v="20000"/>
    <n v="75000"/>
    <n v="200000"/>
    <n v="-0.625"/>
    <n v="0.26666666666666666"/>
  </r>
  <r>
    <n v="73"/>
    <s v="Elvis"/>
    <s v="Marketing"/>
    <s v="Analyst"/>
    <s v="L2"/>
    <x v="2"/>
    <n v="70000"/>
    <n v="15000"/>
    <n v="85000"/>
    <n v="150000"/>
    <n v="-0.43333333333333335"/>
    <n v="0.17647058823529413"/>
  </r>
  <r>
    <n v="74"/>
    <s v="Mirabelle"/>
    <s v="HR"/>
    <s v="Manager"/>
    <s v="L2"/>
    <x v="2"/>
    <n v="95000"/>
    <n v="18000"/>
    <n v="113000"/>
    <n v="150000"/>
    <n v="-0.24666666666666667"/>
    <n v="0.15929203539823009"/>
  </r>
  <r>
    <n v="75"/>
    <s v="Lion"/>
    <s v="Finance"/>
    <s v="Executive"/>
    <s v="L5"/>
    <x v="4"/>
    <n v="80000"/>
    <n v="19000"/>
    <n v="99000"/>
    <n v="140000"/>
    <n v="-0.29285714285714287"/>
    <n v="0.19191919191919191"/>
  </r>
  <r>
    <n v="76"/>
    <s v="Annmarie"/>
    <s v="IT"/>
    <s v="Intern"/>
    <s v="L3"/>
    <x v="0"/>
    <n v="80000"/>
    <n v="17000"/>
    <n v="97000"/>
    <n v="182500"/>
    <n v="-0.46849315068493153"/>
    <n v="0.17525773195876287"/>
  </r>
  <r>
    <n v="77"/>
    <s v="Sada"/>
    <s v="Finance"/>
    <s v="Intern"/>
    <s v="L4"/>
    <x v="0"/>
    <n v="80000"/>
    <n v="12000"/>
    <n v="92000"/>
    <n v="100000"/>
    <n v="-0.08"/>
    <n v="0.13043478260869565"/>
  </r>
  <r>
    <n v="78"/>
    <s v="Base"/>
    <s v="Sales"/>
    <s v="Director"/>
    <s v="L1"/>
    <x v="1"/>
    <n v="90000"/>
    <n v="12000"/>
    <n v="102000"/>
    <n v="140000"/>
    <n v="-0.27142857142857141"/>
    <n v="0.11764705882352941"/>
  </r>
  <r>
    <n v="79"/>
    <s v="Lola"/>
    <s v="HR"/>
    <s v="Executive"/>
    <s v="L2"/>
    <x v="1"/>
    <n v="80000"/>
    <n v="20000"/>
    <n v="100000"/>
    <n v="220000"/>
    <n v="-0.54545454545454541"/>
    <n v="0.2"/>
  </r>
  <r>
    <n v="80"/>
    <s v="Bobine"/>
    <s v="Sales"/>
    <s v="Executive"/>
    <s v="L5"/>
    <x v="4"/>
    <n v="80000"/>
    <n v="17000"/>
    <n v="97000"/>
    <n v="160000"/>
    <n v="-0.39374999999999999"/>
    <n v="0.17525773195876287"/>
  </r>
  <r>
    <n v="81"/>
    <s v="Dionis"/>
    <s v="HR"/>
    <s v="Intern"/>
    <s v="L5"/>
    <x v="1"/>
    <n v="85000"/>
    <n v="12000"/>
    <n v="97000"/>
    <n v="750000"/>
    <n v="-0.8706666666666667"/>
    <n v="0.12371134020618557"/>
  </r>
  <r>
    <n v="82"/>
    <s v="Vernice"/>
    <s v="Finance"/>
    <s v="Manager"/>
    <s v="L2"/>
    <x v="4"/>
    <n v="80000"/>
    <n v="12000"/>
    <n v="92000"/>
    <n v="140000"/>
    <n v="-0.34285714285714286"/>
    <n v="0.13043478260869565"/>
  </r>
  <r>
    <n v="83"/>
    <s v="Francine"/>
    <s v="Marketing"/>
    <s v="Analyst"/>
    <s v="L4"/>
    <x v="3"/>
    <n v="55000"/>
    <n v="19000"/>
    <n v="74000"/>
    <n v="120000"/>
    <n v="-0.38333333333333336"/>
    <n v="0.25675675675675674"/>
  </r>
  <r>
    <n v="84"/>
    <s v="Freemon"/>
    <s v="IT"/>
    <s v="Analyst"/>
    <s v="L5"/>
    <x v="1"/>
    <n v="95000"/>
    <n v="15000"/>
    <n v="110000"/>
    <n v="140000"/>
    <n v="-0.21428571428571427"/>
    <n v="0.13636363636363635"/>
  </r>
  <r>
    <n v="85"/>
    <s v="Gerianna"/>
    <s v="HR"/>
    <s v="Director"/>
    <s v="L5"/>
    <x v="2"/>
    <n v="80000"/>
    <n v="10000"/>
    <n v="90000"/>
    <n v="150000"/>
    <n v="-0.4"/>
    <n v="0.1111111111111111"/>
  </r>
  <r>
    <n v="86"/>
    <s v="Ellene"/>
    <s v="Sales"/>
    <s v="Analyst"/>
    <s v="L6"/>
    <x v="3"/>
    <n v="50000"/>
    <n v="14000"/>
    <n v="64000"/>
    <n v="750000"/>
    <n v="-0.91466666666666663"/>
    <n v="0.21875"/>
  </r>
  <r>
    <n v="87"/>
    <s v="Rosette"/>
    <s v="Marketing"/>
    <s v="Analyst"/>
    <s v="L2"/>
    <x v="3"/>
    <n v="90000"/>
    <n v="14000"/>
    <n v="104000"/>
    <n v="750000"/>
    <n v="-0.86133333333333328"/>
    <n v="0.13461538461538461"/>
  </r>
  <r>
    <n v="88"/>
    <s v="Cornelle"/>
    <s v="Finance"/>
    <s v="Director"/>
    <s v="L5"/>
    <x v="2"/>
    <n v="55000"/>
    <n v="19000"/>
    <n v="74000"/>
    <n v="120000"/>
    <n v="-0.38333333333333336"/>
    <n v="0.25675675675675674"/>
  </r>
  <r>
    <n v="89"/>
    <s v="Daniel"/>
    <s v="Marketing"/>
    <s v="Analyst"/>
    <s v="L1"/>
    <x v="1"/>
    <n v="65000"/>
    <n v="12000"/>
    <n v="77000"/>
    <n v="182500"/>
    <n v="-0.57808219178082187"/>
    <n v="0.15584415584415584"/>
  </r>
  <r>
    <n v="90"/>
    <s v="Laryssa"/>
    <s v="Marketing"/>
    <s v="Intern"/>
    <s v="L6"/>
    <x v="0"/>
    <n v="70000"/>
    <n v="12000"/>
    <n v="82000"/>
    <n v="750000"/>
    <n v="-0.89066666666666672"/>
    <n v="0.14634146341463414"/>
  </r>
  <r>
    <n v="91"/>
    <s v="Florance"/>
    <s v="HR"/>
    <s v="Director"/>
    <s v="L2"/>
    <x v="0"/>
    <n v="80000"/>
    <n v="12000"/>
    <n v="92000"/>
    <n v="140000"/>
    <n v="-0.34285714285714286"/>
    <n v="0.13043478260869565"/>
  </r>
  <r>
    <n v="92"/>
    <s v="Bianca"/>
    <s v="Marketing"/>
    <s v="Intern"/>
    <s v="L1"/>
    <x v="2"/>
    <n v="75000"/>
    <n v="15000"/>
    <n v="90000"/>
    <n v="182500"/>
    <n v="-0.50684931506849318"/>
    <n v="0.16666666666666666"/>
  </r>
  <r>
    <n v="93"/>
    <s v="Giulietta"/>
    <s v="Sales"/>
    <s v="Manager"/>
    <s v="L5"/>
    <x v="4"/>
    <n v="90000"/>
    <n v="15000"/>
    <n v="105000"/>
    <n v="150000"/>
    <n v="-0.3"/>
    <n v="0.14285714285714285"/>
  </r>
  <r>
    <n v="94"/>
    <s v="Inna"/>
    <s v="Finance"/>
    <s v="Manager"/>
    <s v="L6"/>
    <x v="3"/>
    <n v="90000"/>
    <n v="19000"/>
    <n v="109000"/>
    <n v="220000"/>
    <n v="-0.50454545454545452"/>
    <n v="0.1743119266055046"/>
  </r>
  <r>
    <n v="95"/>
    <s v="Silvester"/>
    <s v="Marketing"/>
    <s v="Director"/>
    <s v="L4"/>
    <x v="3"/>
    <n v="80000"/>
    <n v="14000"/>
    <n v="94000"/>
    <n v="750000"/>
    <n v="-0.8746666666666667"/>
    <n v="0.14893617021276595"/>
  </r>
  <r>
    <n v="96"/>
    <s v="Stesha"/>
    <s v="Finance"/>
    <s v="Director"/>
    <s v="L6"/>
    <x v="2"/>
    <n v="55000"/>
    <n v="12000"/>
    <n v="67000"/>
    <n v="160000"/>
    <n v="-0.58125000000000004"/>
    <n v="0.17910447761194029"/>
  </r>
  <r>
    <n v="97"/>
    <s v="Beverie"/>
    <s v="Sales"/>
    <s v="Intern"/>
    <s v="L3"/>
    <x v="4"/>
    <n v="70000"/>
    <n v="20000"/>
    <n v="90000"/>
    <n v="135000"/>
    <n v="-0.33333333333333331"/>
    <n v="0.22222222222222221"/>
  </r>
  <r>
    <n v="98"/>
    <s v="Lucais"/>
    <s v="Marketing"/>
    <s v="Director"/>
    <s v="L6"/>
    <x v="2"/>
    <n v="55000"/>
    <n v="15000"/>
    <n v="70000"/>
    <n v="220000"/>
    <n v="-0.68181818181818177"/>
    <n v="0.21428571428571427"/>
  </r>
  <r>
    <n v="99"/>
    <s v="Elysia"/>
    <s v="HR"/>
    <s v="Analyst"/>
    <s v="L4"/>
    <x v="0"/>
    <n v="65000"/>
    <n v="20000"/>
    <n v="85000"/>
    <n v="160000"/>
    <n v="-0.46875"/>
    <n v="0.23529411764705882"/>
  </r>
  <r>
    <n v="100"/>
    <s v="Lay"/>
    <s v="HR"/>
    <s v="Intern"/>
    <s v="L6"/>
    <x v="4"/>
    <n v="80000"/>
    <n v="13000"/>
    <n v="93000"/>
    <n v="750000"/>
    <n v="-0.876"/>
    <n v="0.1397849462365591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1"/>
    <s v="Hercule"/>
    <s v="Marketing"/>
    <s v="Director"/>
    <s v="L4"/>
    <x v="0"/>
    <n v="65000"/>
    <n v="16000"/>
    <n v="81000"/>
    <n v="200000"/>
    <n v="-0.59499999999999997"/>
    <n v="0.19753086419753085"/>
  </r>
  <r>
    <n v="2"/>
    <s v="Dionisio"/>
    <s v="Finance"/>
    <s v="Manager"/>
    <s v="L1"/>
    <x v="1"/>
    <n v="95000"/>
    <n v="13000"/>
    <n v="108000"/>
    <n v="200000"/>
    <n v="-0.46"/>
    <n v="0.12037037037037036"/>
  </r>
  <r>
    <n v="3"/>
    <s v="Piotr"/>
    <s v="Marketing"/>
    <s v="Analyst"/>
    <s v="L2"/>
    <x v="1"/>
    <n v="80000"/>
    <n v="20000"/>
    <n v="100000"/>
    <n v="200000"/>
    <n v="-0.5"/>
    <n v="0.2"/>
  </r>
  <r>
    <n v="4"/>
    <s v="Boyd"/>
    <s v="Marketing"/>
    <s v="Director"/>
    <s v="L4"/>
    <x v="0"/>
    <n v="65000"/>
    <n v="12000"/>
    <n v="77000"/>
    <n v="200000"/>
    <n v="-0.61499999999999999"/>
    <n v="0.15584415584415584"/>
  </r>
  <r>
    <n v="5"/>
    <s v="Paulo"/>
    <s v="Marketing"/>
    <s v="Director"/>
    <s v="L5"/>
    <x v="2"/>
    <n v="100000"/>
    <n v="15000"/>
    <n v="115000"/>
    <n v="135000"/>
    <n v="-0.14814814814814814"/>
    <n v="0.13043478260869565"/>
  </r>
  <r>
    <n v="6"/>
    <s v="Bo"/>
    <s v="HR"/>
    <s v="Director"/>
    <s v="L3"/>
    <x v="2"/>
    <n v="55000"/>
    <n v="12000"/>
    <n v="67000"/>
    <n v="150000"/>
    <n v="-0.55333333333333334"/>
    <n v="0.17910447761194029"/>
  </r>
  <r>
    <n v="7"/>
    <s v="Simmonds"/>
    <s v="Marketing"/>
    <s v="Director"/>
    <s v="L3"/>
    <x v="2"/>
    <n v="90000"/>
    <n v="12000"/>
    <n v="102000"/>
    <n v="150000"/>
    <n v="-0.32"/>
    <n v="0.11764705882352941"/>
  </r>
  <r>
    <n v="8"/>
    <s v="Abagael"/>
    <s v="IT"/>
    <s v="Executive"/>
    <s v="L1"/>
    <x v="3"/>
    <n v="80000"/>
    <n v="10000"/>
    <n v="90000"/>
    <n v="135000"/>
    <n v="-0.33333333333333331"/>
    <n v="0.1111111111111111"/>
  </r>
  <r>
    <n v="9"/>
    <s v="Jobi"/>
    <s v="Marketing"/>
    <s v="Executive"/>
    <s v="L5"/>
    <x v="4"/>
    <n v="65000"/>
    <n v="14000"/>
    <n v="79000"/>
    <n v="135000"/>
    <n v="-0.4148148148148148"/>
    <n v="0.17721518987341772"/>
  </r>
  <r>
    <n v="10"/>
    <s v="Tera"/>
    <s v="IT"/>
    <s v="Executive"/>
    <s v="L3"/>
    <x v="1"/>
    <n v="90000"/>
    <n v="11000"/>
    <n v="101000"/>
    <n v="160000"/>
    <n v="-0.36875000000000002"/>
    <n v="0.10891089108910891"/>
  </r>
  <r>
    <n v="11"/>
    <s v="Vivia"/>
    <s v="Marketing"/>
    <s v="Director"/>
    <s v="L4"/>
    <x v="1"/>
    <n v="55000"/>
    <n v="15000"/>
    <n v="70000"/>
    <n v="140000"/>
    <n v="-0.5"/>
    <n v="0.21428571428571427"/>
  </r>
  <r>
    <n v="12"/>
    <s v="Auroora"/>
    <s v="HR"/>
    <s v="Executive"/>
    <s v="L5"/>
    <x v="4"/>
    <n v="80000"/>
    <n v="18000"/>
    <n v="98000"/>
    <n v="150000"/>
    <n v="-0.34666666666666668"/>
    <n v="0.18367346938775511"/>
  </r>
  <r>
    <n v="13"/>
    <s v="Pauline"/>
    <s v="Sales"/>
    <s v="Intern"/>
    <s v="L6"/>
    <x v="4"/>
    <n v="50000"/>
    <n v="12000"/>
    <n v="62000"/>
    <n v="220000"/>
    <n v="-0.71818181818181814"/>
    <n v="0.19354838709677419"/>
  </r>
  <r>
    <n v="14"/>
    <s v="Sumner"/>
    <s v="Sales"/>
    <s v="Analyst"/>
    <s v="L3"/>
    <x v="3"/>
    <n v="100000"/>
    <n v="18000"/>
    <n v="118000"/>
    <n v="120000"/>
    <n v="-1.6666666666666666E-2"/>
    <n v="0.15254237288135594"/>
  </r>
  <r>
    <n v="15"/>
    <s v="Jamaal"/>
    <s v="Finance"/>
    <s v="Manager"/>
    <s v="L5"/>
    <x v="1"/>
    <n v="75000"/>
    <n v="15000"/>
    <n v="90000"/>
    <n v="120000"/>
    <n v="-0.25"/>
    <n v="0.16666666666666666"/>
  </r>
  <r>
    <n v="16"/>
    <s v="Berti"/>
    <s v="IT"/>
    <s v="Intern"/>
    <s v="L2"/>
    <x v="0"/>
    <n v="65000"/>
    <n v="12000"/>
    <n v="77000"/>
    <n v="160000"/>
    <n v="-0.51875000000000004"/>
    <n v="0.15584415584415584"/>
  </r>
  <r>
    <n v="17"/>
    <s v="Maura"/>
    <s v="HR"/>
    <s v="Executive"/>
    <s v="L1"/>
    <x v="3"/>
    <n v="95000"/>
    <n v="12000"/>
    <n v="107000"/>
    <n v="182500"/>
    <n v="-0.41369863013698632"/>
    <n v="0.11214953271028037"/>
  </r>
  <r>
    <n v="18"/>
    <s v="Berni"/>
    <s v="Marketing"/>
    <s v="Intern"/>
    <s v="L5"/>
    <x v="1"/>
    <n v="50000"/>
    <n v="10000"/>
    <n v="60000"/>
    <n v="120000"/>
    <n v="-0.5"/>
    <n v="0.16666666666666666"/>
  </r>
  <r>
    <n v="19"/>
    <s v="Leah"/>
    <s v="HR"/>
    <s v="Executive"/>
    <s v="L5"/>
    <x v="2"/>
    <n v="65000"/>
    <n v="12000"/>
    <n v="77000"/>
    <n v="182500"/>
    <n v="-0.57808219178082187"/>
    <n v="0.15584415584415584"/>
  </r>
  <r>
    <n v="20"/>
    <s v="Martina"/>
    <s v="IT"/>
    <s v="Executive"/>
    <s v="L5"/>
    <x v="2"/>
    <n v="80000"/>
    <n v="12000"/>
    <n v="92000"/>
    <n v="100000"/>
    <n v="-0.08"/>
    <n v="0.13043478260869565"/>
  </r>
  <r>
    <n v="21"/>
    <s v="Vita"/>
    <s v="Sales"/>
    <s v="Director"/>
    <s v="L6"/>
    <x v="0"/>
    <n v="75000"/>
    <n v="12000"/>
    <n v="87000"/>
    <n v="120000"/>
    <n v="-0.27500000000000002"/>
    <n v="0.13793103448275862"/>
  </r>
  <r>
    <n v="22"/>
    <s v="Marta"/>
    <s v="Marketing"/>
    <s v="Manager"/>
    <s v="L2"/>
    <x v="4"/>
    <n v="95000"/>
    <n v="13000"/>
    <n v="108000"/>
    <n v="200000"/>
    <n v="-0.46"/>
    <n v="0.12037037037037036"/>
  </r>
  <r>
    <n v="23"/>
    <s v="Irving"/>
    <s v="IT"/>
    <s v="Executive"/>
    <s v="L2"/>
    <x v="1"/>
    <n v="65000"/>
    <n v="14000"/>
    <n v="79000"/>
    <n v="160000"/>
    <n v="-0.50624999999999998"/>
    <n v="0.17721518987341772"/>
  </r>
  <r>
    <n v="24"/>
    <s v="Melissa"/>
    <s v="HR"/>
    <s v="Executive"/>
    <s v="L1"/>
    <x v="2"/>
    <n v="80000"/>
    <n v="15000"/>
    <n v="95000"/>
    <n v="140000"/>
    <n v="-0.32142857142857145"/>
    <n v="0.15789473684210525"/>
  </r>
  <r>
    <n v="25"/>
    <s v="Reynard"/>
    <s v="Marketing"/>
    <s v="Executive"/>
    <s v="L3"/>
    <x v="0"/>
    <n v="50000"/>
    <n v="15000"/>
    <n v="65000"/>
    <n v="150000"/>
    <n v="-0.56666666666666665"/>
    <n v="0.23076923076923078"/>
  </r>
  <r>
    <n v="26"/>
    <s v="Guthry"/>
    <s v="Finance"/>
    <s v="Analyst"/>
    <s v="L6"/>
    <x v="1"/>
    <n v="100000"/>
    <n v="18000"/>
    <n v="118000"/>
    <n v="150000"/>
    <n v="-0.21333333333333335"/>
    <n v="0.15254237288135594"/>
  </r>
  <r>
    <n v="27"/>
    <s v="Sayers"/>
    <s v="HR"/>
    <s v="Manager"/>
    <s v="L6"/>
    <x v="0"/>
    <n v="90000"/>
    <n v="15000"/>
    <n v="105000"/>
    <n v="150000"/>
    <n v="-0.3"/>
    <n v="0.14285714285714285"/>
  </r>
  <r>
    <n v="28"/>
    <s v="Grover"/>
    <s v="IT"/>
    <s v="Manager"/>
    <s v="L4"/>
    <x v="3"/>
    <n v="80000"/>
    <n v="12000"/>
    <n v="92000"/>
    <n v="140000"/>
    <n v="-0.34285714285714286"/>
    <n v="0.13043478260869565"/>
  </r>
  <r>
    <n v="29"/>
    <s v="Moira"/>
    <s v="Marketing"/>
    <s v="Intern"/>
    <s v="L6"/>
    <x v="3"/>
    <n v="65000"/>
    <n v="16000"/>
    <n v="81000"/>
    <n v="220000"/>
    <n v="-0.63181818181818183"/>
    <n v="0.19753086419753085"/>
  </r>
  <r>
    <n v="30"/>
    <s v="Candide"/>
    <s v="Marketing"/>
    <s v="Analyst"/>
    <s v="L1"/>
    <x v="3"/>
    <n v="65000"/>
    <n v="12000"/>
    <n v="77000"/>
    <n v="160000"/>
    <n v="-0.51875000000000004"/>
    <n v="0.15584415584415584"/>
  </r>
  <r>
    <n v="31"/>
    <s v="Judah"/>
    <s v="Marketing"/>
    <s v="Analyst"/>
    <s v="L2"/>
    <x v="4"/>
    <n v="80000"/>
    <n v="20000"/>
    <n v="100000"/>
    <n v="200000"/>
    <n v="-0.5"/>
    <n v="0.2"/>
  </r>
  <r>
    <n v="32"/>
    <s v="Dedie"/>
    <s v="Marketing"/>
    <s v="Director"/>
    <s v="L2"/>
    <x v="3"/>
    <n v="65000"/>
    <n v="15000"/>
    <n v="80000"/>
    <n v="200000"/>
    <n v="-0.6"/>
    <n v="0.1875"/>
  </r>
  <r>
    <n v="33"/>
    <s v="Deena"/>
    <s v="HR"/>
    <s v="Manager"/>
    <s v="L2"/>
    <x v="0"/>
    <n v="80000"/>
    <n v="20000"/>
    <n v="100000"/>
    <n v="120000"/>
    <n v="-0.16666666666666666"/>
    <n v="0.2"/>
  </r>
  <r>
    <n v="34"/>
    <s v="Alfons"/>
    <s v="IT"/>
    <s v="Executive"/>
    <s v="L5"/>
    <x v="2"/>
    <n v="65000"/>
    <n v="20000"/>
    <n v="85000"/>
    <n v="100000"/>
    <n v="-0.15"/>
    <n v="0.23529411764705882"/>
  </r>
  <r>
    <n v="35"/>
    <s v="Barth"/>
    <s v="Sales"/>
    <s v="Executive"/>
    <s v="L4"/>
    <x v="4"/>
    <n v="65000"/>
    <n v="17000"/>
    <n v="82000"/>
    <n v="182500"/>
    <n v="-0.55068493150684927"/>
    <n v="0.2073170731707317"/>
  </r>
  <r>
    <n v="36"/>
    <s v="Bernette"/>
    <s v="Marketing"/>
    <s v="Director"/>
    <s v="L6"/>
    <x v="0"/>
    <n v="95000"/>
    <n v="12000"/>
    <n v="107000"/>
    <n v="160000"/>
    <n v="-0.33124999999999999"/>
    <n v="0.11214953271028037"/>
  </r>
  <r>
    <n v="37"/>
    <s v="Jay"/>
    <s v="HR"/>
    <s v="Analyst"/>
    <s v="L3"/>
    <x v="2"/>
    <n v="50000"/>
    <n v="15000"/>
    <n v="65000"/>
    <n v="100000"/>
    <n v="-0.35"/>
    <n v="0.23076923076923078"/>
  </r>
  <r>
    <n v="38"/>
    <s v="Eugene"/>
    <s v="Finance"/>
    <s v="Intern"/>
    <s v="L1"/>
    <x v="1"/>
    <n v="65000"/>
    <n v="12000"/>
    <n v="77000"/>
    <n v="220000"/>
    <n v="-0.65"/>
    <n v="0.15584415584415584"/>
  </r>
  <r>
    <n v="39"/>
    <s v="Tadeas"/>
    <s v="HR"/>
    <s v="Director"/>
    <s v="L1"/>
    <x v="2"/>
    <n v="65000"/>
    <n v="14000"/>
    <n v="79000"/>
    <n v="220000"/>
    <n v="-0.64090909090909087"/>
    <n v="0.17721518987341772"/>
  </r>
  <r>
    <n v="40"/>
    <s v="Tory"/>
    <s v="Marketing"/>
    <s v="Director"/>
    <s v="L6"/>
    <x v="4"/>
    <n v="65000"/>
    <n v="12000"/>
    <n v="77000"/>
    <n v="182500"/>
    <n v="-0.57808219178082187"/>
    <n v="0.15584415584415584"/>
  </r>
  <r>
    <n v="41"/>
    <s v="Muire"/>
    <s v="Sales"/>
    <s v="Analyst"/>
    <s v="L2"/>
    <x v="1"/>
    <n v="80000"/>
    <n v="16000"/>
    <n v="96000"/>
    <n v="220000"/>
    <n v="-0.5636363636363636"/>
    <n v="0.16666666666666666"/>
  </r>
  <r>
    <n v="42"/>
    <s v="Tally"/>
    <s v="Marketing"/>
    <s v="Intern"/>
    <s v="L6"/>
    <x v="0"/>
    <n v="85000"/>
    <n v="15000"/>
    <n v="100000"/>
    <n v="135000"/>
    <n v="-0.25925925925925924"/>
    <n v="0.15"/>
  </r>
  <r>
    <n v="43"/>
    <s v="Cullie"/>
    <s v="Marketing"/>
    <s v="Manager"/>
    <s v="L2"/>
    <x v="3"/>
    <n v="85000"/>
    <n v="20000"/>
    <n v="105000"/>
    <n v="120000"/>
    <n v="-0.125"/>
    <n v="0.19047619047619047"/>
  </r>
  <r>
    <n v="44"/>
    <s v="Vincent"/>
    <s v="Marketing"/>
    <s v="Manager"/>
    <s v="L3"/>
    <x v="1"/>
    <n v="100000"/>
    <n v="11000"/>
    <n v="111000"/>
    <n v="150000"/>
    <n v="-0.26"/>
    <n v="9.90990990990991E-2"/>
  </r>
  <r>
    <n v="45"/>
    <s v="Jeralee"/>
    <s v="IT"/>
    <s v="Analyst"/>
    <s v="L6"/>
    <x v="2"/>
    <n v="95000"/>
    <n v="12000"/>
    <n v="107000"/>
    <n v="750000"/>
    <n v="-0.85733333333333328"/>
    <n v="0.11214953271028037"/>
  </r>
  <r>
    <n v="46"/>
    <s v="Fayth"/>
    <s v="IT"/>
    <s v="Manager"/>
    <s v="L4"/>
    <x v="3"/>
    <n v="90000"/>
    <n v="12000"/>
    <n v="102000"/>
    <n v="100000"/>
    <n v="0.02"/>
    <n v="0.11764705882352941"/>
  </r>
  <r>
    <n v="47"/>
    <s v="Christos"/>
    <s v="IT"/>
    <s v="Manager"/>
    <s v="L6"/>
    <x v="1"/>
    <n v="75000"/>
    <n v="12000"/>
    <n v="87000"/>
    <n v="100000"/>
    <n v="-0.13"/>
    <n v="0.13793103448275862"/>
  </r>
  <r>
    <n v="48"/>
    <s v="Cammi"/>
    <s v="Sales"/>
    <s v="Analyst"/>
    <s v="L5"/>
    <x v="4"/>
    <n v="80000"/>
    <n v="13000"/>
    <n v="93000"/>
    <n v="140000"/>
    <n v="-0.33571428571428569"/>
    <n v="0.13978494623655913"/>
  </r>
  <r>
    <n v="49"/>
    <s v="Filberte"/>
    <s v="HR"/>
    <s v="Executive"/>
    <s v="L5"/>
    <x v="2"/>
    <n v="75000"/>
    <n v="20000"/>
    <n v="95000"/>
    <n v="750000"/>
    <n v="-0.87333333333333329"/>
    <n v="0.21052631578947367"/>
  </r>
  <r>
    <n v="50"/>
    <s v="Antin"/>
    <s v="IT"/>
    <s v="Director"/>
    <s v="L5"/>
    <x v="2"/>
    <n v="95000"/>
    <n v="14000"/>
    <n v="109000"/>
    <n v="140000"/>
    <n v="-0.22142857142857142"/>
    <n v="0.12844036697247707"/>
  </r>
  <r>
    <n v="51"/>
    <s v="Anna"/>
    <s v="Sales"/>
    <s v="Analyst"/>
    <s v="L1"/>
    <x v="0"/>
    <n v="65000"/>
    <n v="20000"/>
    <n v="85000"/>
    <n v="182500"/>
    <n v="-0.53424657534246578"/>
    <n v="0.23529411764705882"/>
  </r>
  <r>
    <n v="52"/>
    <s v="Drucill"/>
    <s v="HR"/>
    <s v="Analyst"/>
    <s v="L3"/>
    <x v="3"/>
    <n v="80000"/>
    <n v="19000"/>
    <n v="99000"/>
    <n v="120000"/>
    <n v="-0.17499999999999999"/>
    <n v="0.19191919191919191"/>
  </r>
  <r>
    <n v="53"/>
    <s v="Jewelle"/>
    <s v="Marketing"/>
    <s v="Manager"/>
    <s v="L3"/>
    <x v="0"/>
    <n v="75000"/>
    <n v="13000"/>
    <n v="88000"/>
    <n v="150000"/>
    <n v="-0.41333333333333333"/>
    <n v="0.14772727272727273"/>
  </r>
  <r>
    <n v="54"/>
    <s v="Randie"/>
    <s v="IT"/>
    <s v="Intern"/>
    <s v="L6"/>
    <x v="3"/>
    <n v="65000"/>
    <n v="15000"/>
    <n v="80000"/>
    <n v="100000"/>
    <n v="-0.2"/>
    <n v="0.1875"/>
  </r>
  <r>
    <n v="55"/>
    <s v="Stefanie"/>
    <s v="IT"/>
    <s v="Manager"/>
    <s v="L2"/>
    <x v="1"/>
    <n v="80000"/>
    <n v="12000"/>
    <n v="92000"/>
    <n v="135000"/>
    <n v="-0.31851851851851853"/>
    <n v="0.13043478260869565"/>
  </r>
  <r>
    <n v="56"/>
    <s v="Quinta"/>
    <s v="IT"/>
    <s v="Director"/>
    <s v="L2"/>
    <x v="2"/>
    <n v="90000"/>
    <n v="18000"/>
    <n v="108000"/>
    <n v="100000"/>
    <n v="0.08"/>
    <n v="0.16666666666666666"/>
  </r>
  <r>
    <n v="57"/>
    <s v="Marnia"/>
    <s v="Finance"/>
    <s v="Analyst"/>
    <s v="L2"/>
    <x v="2"/>
    <n v="95000"/>
    <n v="16000"/>
    <n v="111000"/>
    <n v="182500"/>
    <n v="-0.39178082191780822"/>
    <n v="0.14414414414414414"/>
  </r>
  <r>
    <n v="58"/>
    <s v="Blakeley"/>
    <s v="Sales"/>
    <s v="Executive"/>
    <s v="L4"/>
    <x v="4"/>
    <n v="85000"/>
    <n v="15000"/>
    <n v="100000"/>
    <n v="160000"/>
    <n v="-0.375"/>
    <n v="0.15"/>
  </r>
  <r>
    <n v="59"/>
    <s v="Gilburt"/>
    <s v="IT"/>
    <s v="Intern"/>
    <s v="L1"/>
    <x v="4"/>
    <n v="65000"/>
    <n v="19000"/>
    <n v="84000"/>
    <n v="135000"/>
    <n v="-0.37777777777777777"/>
    <n v="0.22619047619047619"/>
  </r>
  <r>
    <n v="60"/>
    <s v="Nikos"/>
    <s v="HR"/>
    <s v="Manager"/>
    <s v="L6"/>
    <x v="1"/>
    <n v="80000"/>
    <n v="20000"/>
    <n v="100000"/>
    <n v="220000"/>
    <n v="-0.54545454545454541"/>
    <n v="0.2"/>
  </r>
  <r>
    <n v="61"/>
    <s v="Chickie"/>
    <s v="Marketing"/>
    <s v="Manager"/>
    <s v="L4"/>
    <x v="2"/>
    <n v="55000"/>
    <n v="12000"/>
    <n v="67000"/>
    <n v="150000"/>
    <n v="-0.55333333333333334"/>
    <n v="0.17910447761194029"/>
  </r>
  <r>
    <n v="62"/>
    <s v="Gaven"/>
    <s v="HR"/>
    <s v="Intern"/>
    <s v="L4"/>
    <x v="1"/>
    <n v="80000"/>
    <n v="12000"/>
    <n v="92000"/>
    <n v="135000"/>
    <n v="-0.31851851851851853"/>
    <n v="0.13043478260869565"/>
  </r>
  <r>
    <n v="63"/>
    <s v="Slade"/>
    <s v="HR"/>
    <s v="Analyst"/>
    <s v="L2"/>
    <x v="0"/>
    <n v="50000"/>
    <n v="15000"/>
    <n v="65000"/>
    <n v="160000"/>
    <n v="-0.59375"/>
    <n v="0.23076923076923078"/>
  </r>
  <r>
    <n v="64"/>
    <s v="Penni"/>
    <s v="Finance"/>
    <s v="Intern"/>
    <s v="L6"/>
    <x v="3"/>
    <n v="80000"/>
    <n v="13000"/>
    <n v="93000"/>
    <n v="100000"/>
    <n v="-7.0000000000000007E-2"/>
    <n v="0.13978494623655913"/>
  </r>
  <r>
    <n v="65"/>
    <s v="Isidore"/>
    <s v="Marketing"/>
    <s v="Intern"/>
    <s v="L5"/>
    <x v="2"/>
    <n v="65000"/>
    <n v="12000"/>
    <n v="77000"/>
    <n v="160000"/>
    <n v="-0.51875000000000004"/>
    <n v="0.15584415584415584"/>
  </r>
  <r>
    <n v="66"/>
    <s v="Isidore"/>
    <s v="Marketing"/>
    <s v="Intern"/>
    <s v="L6"/>
    <x v="4"/>
    <n v="65000"/>
    <n v="19000"/>
    <n v="84000"/>
    <n v="140000"/>
    <n v="-0.4"/>
    <n v="0.22619047619047619"/>
  </r>
  <r>
    <n v="67"/>
    <s v="Ray"/>
    <s v="Marketing"/>
    <s v="Manager"/>
    <s v="L3"/>
    <x v="3"/>
    <n v="85000"/>
    <n v="15000"/>
    <n v="100000"/>
    <n v="120000"/>
    <n v="-0.16666666666666666"/>
    <n v="0.15"/>
  </r>
  <r>
    <n v="68"/>
    <s v="Wilfred"/>
    <s v="Sales"/>
    <s v="Manager"/>
    <s v="L3"/>
    <x v="2"/>
    <n v="80000"/>
    <n v="12000"/>
    <n v="92000"/>
    <n v="120000"/>
    <n v="-0.23333333333333334"/>
    <n v="0.13043478260869565"/>
  </r>
  <r>
    <n v="69"/>
    <s v="Lorenzo"/>
    <s v="Marketing"/>
    <s v="Intern"/>
    <s v="L6"/>
    <x v="2"/>
    <n v="70000"/>
    <n v="18000"/>
    <n v="88000"/>
    <n v="120000"/>
    <n v="-0.26666666666666666"/>
    <n v="0.20454545454545456"/>
  </r>
  <r>
    <n v="70"/>
    <s v="Claretta"/>
    <s v="Sales"/>
    <s v="Executive"/>
    <s v="L4"/>
    <x v="0"/>
    <n v="65000"/>
    <n v="18000"/>
    <n v="83000"/>
    <n v="120000"/>
    <n v="-0.30833333333333335"/>
    <n v="0.21686746987951808"/>
  </r>
  <r>
    <n v="71"/>
    <s v="Roarke"/>
    <s v="HR"/>
    <s v="Executive"/>
    <s v="L3"/>
    <x v="1"/>
    <n v="85000"/>
    <n v="16000"/>
    <n v="101000"/>
    <n v="120000"/>
    <n v="-0.15833333333333333"/>
    <n v="0.15841584158415842"/>
  </r>
  <r>
    <n v="72"/>
    <s v="Felice"/>
    <s v="Finance"/>
    <s v="Manager"/>
    <s v="L3"/>
    <x v="2"/>
    <n v="55000"/>
    <n v="20000"/>
    <n v="75000"/>
    <n v="200000"/>
    <n v="-0.625"/>
    <n v="0.26666666666666666"/>
  </r>
  <r>
    <n v="73"/>
    <s v="Elvis"/>
    <s v="Marketing"/>
    <s v="Analyst"/>
    <s v="L2"/>
    <x v="2"/>
    <n v="70000"/>
    <n v="15000"/>
    <n v="85000"/>
    <n v="150000"/>
    <n v="-0.43333333333333335"/>
    <n v="0.17647058823529413"/>
  </r>
  <r>
    <n v="74"/>
    <s v="Mirabelle"/>
    <s v="HR"/>
    <s v="Manager"/>
    <s v="L2"/>
    <x v="2"/>
    <n v="95000"/>
    <n v="18000"/>
    <n v="113000"/>
    <n v="150000"/>
    <n v="-0.24666666666666667"/>
    <n v="0.15929203539823009"/>
  </r>
  <r>
    <n v="75"/>
    <s v="Lion"/>
    <s v="Finance"/>
    <s v="Executive"/>
    <s v="L5"/>
    <x v="4"/>
    <n v="80000"/>
    <n v="19000"/>
    <n v="99000"/>
    <n v="140000"/>
    <n v="-0.29285714285714287"/>
    <n v="0.19191919191919191"/>
  </r>
  <r>
    <n v="76"/>
    <s v="Annmarie"/>
    <s v="IT"/>
    <s v="Intern"/>
    <s v="L3"/>
    <x v="0"/>
    <n v="80000"/>
    <n v="17000"/>
    <n v="97000"/>
    <n v="182500"/>
    <n v="-0.46849315068493153"/>
    <n v="0.17525773195876287"/>
  </r>
  <r>
    <n v="77"/>
    <s v="Sada"/>
    <s v="Finance"/>
    <s v="Intern"/>
    <s v="L4"/>
    <x v="0"/>
    <n v="80000"/>
    <n v="12000"/>
    <n v="92000"/>
    <n v="100000"/>
    <n v="-0.08"/>
    <n v="0.13043478260869565"/>
  </r>
  <r>
    <n v="78"/>
    <s v="Base"/>
    <s v="Sales"/>
    <s v="Director"/>
    <s v="L1"/>
    <x v="1"/>
    <n v="90000"/>
    <n v="12000"/>
    <n v="102000"/>
    <n v="140000"/>
    <n v="-0.27142857142857141"/>
    <n v="0.11764705882352941"/>
  </r>
  <r>
    <n v="79"/>
    <s v="Lola"/>
    <s v="HR"/>
    <s v="Executive"/>
    <s v="L2"/>
    <x v="1"/>
    <n v="80000"/>
    <n v="20000"/>
    <n v="100000"/>
    <n v="220000"/>
    <n v="-0.54545454545454541"/>
    <n v="0.2"/>
  </r>
  <r>
    <n v="80"/>
    <s v="Bobine"/>
    <s v="Sales"/>
    <s v="Executive"/>
    <s v="L5"/>
    <x v="4"/>
    <n v="80000"/>
    <n v="17000"/>
    <n v="97000"/>
    <n v="160000"/>
    <n v="-0.39374999999999999"/>
    <n v="0.17525773195876287"/>
  </r>
  <r>
    <n v="81"/>
    <s v="Dionis"/>
    <s v="HR"/>
    <s v="Intern"/>
    <s v="L5"/>
    <x v="1"/>
    <n v="85000"/>
    <n v="12000"/>
    <n v="97000"/>
    <n v="750000"/>
    <n v="-0.8706666666666667"/>
    <n v="0.12371134020618557"/>
  </r>
  <r>
    <n v="82"/>
    <s v="Vernice"/>
    <s v="Finance"/>
    <s v="Manager"/>
    <s v="L2"/>
    <x v="4"/>
    <n v="80000"/>
    <n v="12000"/>
    <n v="92000"/>
    <n v="140000"/>
    <n v="-0.34285714285714286"/>
    <n v="0.13043478260869565"/>
  </r>
  <r>
    <n v="83"/>
    <s v="Francine"/>
    <s v="Marketing"/>
    <s v="Analyst"/>
    <s v="L4"/>
    <x v="3"/>
    <n v="55000"/>
    <n v="19000"/>
    <n v="74000"/>
    <n v="120000"/>
    <n v="-0.38333333333333336"/>
    <n v="0.25675675675675674"/>
  </r>
  <r>
    <n v="84"/>
    <s v="Freemon"/>
    <s v="IT"/>
    <s v="Analyst"/>
    <s v="L5"/>
    <x v="1"/>
    <n v="95000"/>
    <n v="15000"/>
    <n v="110000"/>
    <n v="140000"/>
    <n v="-0.21428571428571427"/>
    <n v="0.13636363636363635"/>
  </r>
  <r>
    <n v="85"/>
    <s v="Gerianna"/>
    <s v="HR"/>
    <s v="Director"/>
    <s v="L5"/>
    <x v="2"/>
    <n v="80000"/>
    <n v="10000"/>
    <n v="90000"/>
    <n v="150000"/>
    <n v="-0.4"/>
    <n v="0.1111111111111111"/>
  </r>
  <r>
    <n v="86"/>
    <s v="Ellene"/>
    <s v="Sales"/>
    <s v="Analyst"/>
    <s v="L6"/>
    <x v="3"/>
    <n v="50000"/>
    <n v="14000"/>
    <n v="64000"/>
    <n v="750000"/>
    <n v="-0.91466666666666663"/>
    <n v="0.21875"/>
  </r>
  <r>
    <n v="87"/>
    <s v="Rosette"/>
    <s v="Marketing"/>
    <s v="Analyst"/>
    <s v="L2"/>
    <x v="3"/>
    <n v="90000"/>
    <n v="14000"/>
    <n v="104000"/>
    <n v="750000"/>
    <n v="-0.86133333333333328"/>
    <n v="0.13461538461538461"/>
  </r>
  <r>
    <n v="88"/>
    <s v="Cornelle"/>
    <s v="Finance"/>
    <s v="Director"/>
    <s v="L5"/>
    <x v="2"/>
    <n v="55000"/>
    <n v="19000"/>
    <n v="74000"/>
    <n v="120000"/>
    <n v="-0.38333333333333336"/>
    <n v="0.25675675675675674"/>
  </r>
  <r>
    <n v="89"/>
    <s v="Daniel"/>
    <s v="Marketing"/>
    <s v="Analyst"/>
    <s v="L1"/>
    <x v="1"/>
    <n v="65000"/>
    <n v="12000"/>
    <n v="77000"/>
    <n v="182500"/>
    <n v="-0.57808219178082187"/>
    <n v="0.15584415584415584"/>
  </r>
  <r>
    <n v="90"/>
    <s v="Laryssa"/>
    <s v="Marketing"/>
    <s v="Intern"/>
    <s v="L6"/>
    <x v="0"/>
    <n v="70000"/>
    <n v="12000"/>
    <n v="82000"/>
    <n v="750000"/>
    <n v="-0.89066666666666672"/>
    <n v="0.14634146341463414"/>
  </r>
  <r>
    <n v="91"/>
    <s v="Florance"/>
    <s v="HR"/>
    <s v="Director"/>
    <s v="L2"/>
    <x v="0"/>
    <n v="80000"/>
    <n v="12000"/>
    <n v="92000"/>
    <n v="140000"/>
    <n v="-0.34285714285714286"/>
    <n v="0.13043478260869565"/>
  </r>
  <r>
    <n v="92"/>
    <s v="Bianca"/>
    <s v="Marketing"/>
    <s v="Intern"/>
    <s v="L1"/>
    <x v="2"/>
    <n v="75000"/>
    <n v="15000"/>
    <n v="90000"/>
    <n v="182500"/>
    <n v="-0.50684931506849318"/>
    <n v="0.16666666666666666"/>
  </r>
  <r>
    <n v="93"/>
    <s v="Giulietta"/>
    <s v="Sales"/>
    <s v="Manager"/>
    <s v="L5"/>
    <x v="4"/>
    <n v="90000"/>
    <n v="15000"/>
    <n v="105000"/>
    <n v="150000"/>
    <n v="-0.3"/>
    <n v="0.14285714285714285"/>
  </r>
  <r>
    <n v="94"/>
    <s v="Inna"/>
    <s v="Finance"/>
    <s v="Manager"/>
    <s v="L6"/>
    <x v="3"/>
    <n v="90000"/>
    <n v="19000"/>
    <n v="109000"/>
    <n v="220000"/>
    <n v="-0.50454545454545452"/>
    <n v="0.1743119266055046"/>
  </r>
  <r>
    <n v="95"/>
    <s v="Silvester"/>
    <s v="Marketing"/>
    <s v="Director"/>
    <s v="L4"/>
    <x v="3"/>
    <n v="80000"/>
    <n v="14000"/>
    <n v="94000"/>
    <n v="750000"/>
    <n v="-0.8746666666666667"/>
    <n v="0.14893617021276595"/>
  </r>
  <r>
    <n v="96"/>
    <s v="Stesha"/>
    <s v="Finance"/>
    <s v="Director"/>
    <s v="L6"/>
    <x v="2"/>
    <n v="55000"/>
    <n v="12000"/>
    <n v="67000"/>
    <n v="160000"/>
    <n v="-0.58125000000000004"/>
    <n v="0.17910447761194029"/>
  </r>
  <r>
    <n v="97"/>
    <s v="Beverie"/>
    <s v="Sales"/>
    <s v="Intern"/>
    <s v="L3"/>
    <x v="4"/>
    <n v="70000"/>
    <n v="20000"/>
    <n v="90000"/>
    <n v="135000"/>
    <n v="-0.33333333333333331"/>
    <n v="0.22222222222222221"/>
  </r>
  <r>
    <n v="98"/>
    <s v="Lucais"/>
    <s v="Marketing"/>
    <s v="Director"/>
    <s v="L6"/>
    <x v="2"/>
    <n v="55000"/>
    <n v="15000"/>
    <n v="70000"/>
    <n v="220000"/>
    <n v="-0.68181818181818177"/>
    <n v="0.21428571428571427"/>
  </r>
  <r>
    <n v="99"/>
    <s v="Elysia"/>
    <s v="HR"/>
    <s v="Analyst"/>
    <s v="L4"/>
    <x v="0"/>
    <n v="65000"/>
    <n v="20000"/>
    <n v="85000"/>
    <n v="160000"/>
    <n v="-0.46875"/>
    <n v="0.23529411764705882"/>
  </r>
  <r>
    <n v="100"/>
    <s v="Lay"/>
    <s v="HR"/>
    <s v="Intern"/>
    <s v="L6"/>
    <x v="4"/>
    <n v="80000"/>
    <n v="13000"/>
    <n v="93000"/>
    <n v="750000"/>
    <n v="-0.876"/>
    <n v="0.1397849462365591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1"/>
    <x v="0"/>
    <s v="Marketing"/>
    <s v="Director"/>
    <s v="L4"/>
    <x v="0"/>
    <n v="65000"/>
    <n v="16000"/>
    <n v="81000"/>
    <n v="200000"/>
    <n v="-0.59499999999999997"/>
    <n v="0.19753086419753085"/>
  </r>
  <r>
    <n v="2"/>
    <x v="1"/>
    <s v="Finance"/>
    <s v="Manager"/>
    <s v="L1"/>
    <x v="1"/>
    <n v="95000"/>
    <n v="13000"/>
    <n v="108000"/>
    <n v="200000"/>
    <n v="-0.46"/>
    <n v="0.12037037037037036"/>
  </r>
  <r>
    <n v="3"/>
    <x v="2"/>
    <s v="Marketing"/>
    <s v="Analyst"/>
    <s v="L2"/>
    <x v="1"/>
    <n v="80000"/>
    <n v="20000"/>
    <n v="100000"/>
    <n v="200000"/>
    <n v="-0.5"/>
    <n v="0.2"/>
  </r>
  <r>
    <n v="4"/>
    <x v="3"/>
    <s v="Marketing"/>
    <s v="Director"/>
    <s v="L4"/>
    <x v="0"/>
    <n v="65000"/>
    <n v="12000"/>
    <n v="77000"/>
    <n v="200000"/>
    <n v="-0.61499999999999999"/>
    <n v="0.15584415584415584"/>
  </r>
  <r>
    <n v="5"/>
    <x v="4"/>
    <s v="Marketing"/>
    <s v="Director"/>
    <s v="L5"/>
    <x v="2"/>
    <n v="100000"/>
    <n v="15000"/>
    <n v="115000"/>
    <n v="135000"/>
    <n v="-0.14814814814814814"/>
    <n v="0.13043478260869565"/>
  </r>
  <r>
    <n v="6"/>
    <x v="5"/>
    <s v="HR"/>
    <s v="Director"/>
    <s v="L3"/>
    <x v="2"/>
    <n v="55000"/>
    <n v="12000"/>
    <n v="67000"/>
    <n v="150000"/>
    <n v="-0.55333333333333334"/>
    <n v="0.17910447761194029"/>
  </r>
  <r>
    <n v="7"/>
    <x v="6"/>
    <s v="Marketing"/>
    <s v="Director"/>
    <s v="L3"/>
    <x v="2"/>
    <n v="90000"/>
    <n v="12000"/>
    <n v="102000"/>
    <n v="150000"/>
    <n v="-0.32"/>
    <n v="0.11764705882352941"/>
  </r>
  <r>
    <n v="8"/>
    <x v="7"/>
    <s v="IT"/>
    <s v="Executive"/>
    <s v="L1"/>
    <x v="3"/>
    <n v="80000"/>
    <n v="10000"/>
    <n v="90000"/>
    <n v="135000"/>
    <n v="-0.33333333333333331"/>
    <n v="0.1111111111111111"/>
  </r>
  <r>
    <n v="9"/>
    <x v="8"/>
    <s v="Marketing"/>
    <s v="Executive"/>
    <s v="L5"/>
    <x v="4"/>
    <n v="65000"/>
    <n v="14000"/>
    <n v="79000"/>
    <n v="135000"/>
    <n v="-0.4148148148148148"/>
    <n v="0.17721518987341772"/>
  </r>
  <r>
    <n v="10"/>
    <x v="9"/>
    <s v="IT"/>
    <s v="Executive"/>
    <s v="L3"/>
    <x v="1"/>
    <n v="90000"/>
    <n v="11000"/>
    <n v="101000"/>
    <n v="160000"/>
    <n v="-0.36875000000000002"/>
    <n v="0.10891089108910891"/>
  </r>
  <r>
    <n v="11"/>
    <x v="10"/>
    <s v="Marketing"/>
    <s v="Director"/>
    <s v="L4"/>
    <x v="1"/>
    <n v="55000"/>
    <n v="15000"/>
    <n v="70000"/>
    <n v="140000"/>
    <n v="-0.5"/>
    <n v="0.21428571428571427"/>
  </r>
  <r>
    <n v="12"/>
    <x v="11"/>
    <s v="HR"/>
    <s v="Executive"/>
    <s v="L5"/>
    <x v="4"/>
    <n v="80000"/>
    <n v="18000"/>
    <n v="98000"/>
    <n v="150000"/>
    <n v="-0.34666666666666668"/>
    <n v="0.18367346938775511"/>
  </r>
  <r>
    <n v="13"/>
    <x v="12"/>
    <s v="Sales"/>
    <s v="Intern"/>
    <s v="L6"/>
    <x v="4"/>
    <n v="50000"/>
    <n v="12000"/>
    <n v="62000"/>
    <n v="220000"/>
    <n v="-0.71818181818181814"/>
    <n v="0.19354838709677419"/>
  </r>
  <r>
    <n v="14"/>
    <x v="13"/>
    <s v="Sales"/>
    <s v="Analyst"/>
    <s v="L3"/>
    <x v="3"/>
    <n v="100000"/>
    <n v="18000"/>
    <n v="118000"/>
    <n v="120000"/>
    <n v="-1.6666666666666666E-2"/>
    <n v="0.15254237288135594"/>
  </r>
  <r>
    <n v="15"/>
    <x v="14"/>
    <s v="Finance"/>
    <s v="Manager"/>
    <s v="L5"/>
    <x v="1"/>
    <n v="75000"/>
    <n v="15000"/>
    <n v="90000"/>
    <n v="120000"/>
    <n v="-0.25"/>
    <n v="0.16666666666666666"/>
  </r>
  <r>
    <n v="16"/>
    <x v="15"/>
    <s v="IT"/>
    <s v="Intern"/>
    <s v="L2"/>
    <x v="0"/>
    <n v="65000"/>
    <n v="12000"/>
    <n v="77000"/>
    <n v="160000"/>
    <n v="-0.51875000000000004"/>
    <n v="0.15584415584415584"/>
  </r>
  <r>
    <n v="17"/>
    <x v="16"/>
    <s v="HR"/>
    <s v="Executive"/>
    <s v="L1"/>
    <x v="3"/>
    <n v="95000"/>
    <n v="12000"/>
    <n v="107000"/>
    <n v="182500"/>
    <n v="-0.41369863013698632"/>
    <n v="0.11214953271028037"/>
  </r>
  <r>
    <n v="18"/>
    <x v="17"/>
    <s v="Marketing"/>
    <s v="Intern"/>
    <s v="L5"/>
    <x v="1"/>
    <n v="50000"/>
    <n v="10000"/>
    <n v="60000"/>
    <n v="120000"/>
    <n v="-0.5"/>
    <n v="0.16666666666666666"/>
  </r>
  <r>
    <n v="19"/>
    <x v="18"/>
    <s v="HR"/>
    <s v="Executive"/>
    <s v="L5"/>
    <x v="2"/>
    <n v="65000"/>
    <n v="12000"/>
    <n v="77000"/>
    <n v="182500"/>
    <n v="-0.57808219178082187"/>
    <n v="0.15584415584415584"/>
  </r>
  <r>
    <n v="20"/>
    <x v="19"/>
    <s v="IT"/>
    <s v="Executive"/>
    <s v="L5"/>
    <x v="2"/>
    <n v="80000"/>
    <n v="12000"/>
    <n v="92000"/>
    <n v="100000"/>
    <n v="-0.08"/>
    <n v="0.13043478260869565"/>
  </r>
  <r>
    <n v="21"/>
    <x v="20"/>
    <s v="Sales"/>
    <s v="Director"/>
    <s v="L6"/>
    <x v="0"/>
    <n v="75000"/>
    <n v="12000"/>
    <n v="87000"/>
    <n v="120000"/>
    <n v="-0.27500000000000002"/>
    <n v="0.13793103448275862"/>
  </r>
  <r>
    <n v="22"/>
    <x v="21"/>
    <s v="Marketing"/>
    <s v="Manager"/>
    <s v="L2"/>
    <x v="4"/>
    <n v="95000"/>
    <n v="13000"/>
    <n v="108000"/>
    <n v="200000"/>
    <n v="-0.46"/>
    <n v="0.12037037037037036"/>
  </r>
  <r>
    <n v="23"/>
    <x v="22"/>
    <s v="IT"/>
    <s v="Executive"/>
    <s v="L2"/>
    <x v="1"/>
    <n v="65000"/>
    <n v="14000"/>
    <n v="79000"/>
    <n v="160000"/>
    <n v="-0.50624999999999998"/>
    <n v="0.17721518987341772"/>
  </r>
  <r>
    <n v="24"/>
    <x v="23"/>
    <s v="HR"/>
    <s v="Executive"/>
    <s v="L1"/>
    <x v="2"/>
    <n v="80000"/>
    <n v="15000"/>
    <n v="95000"/>
    <n v="140000"/>
    <n v="-0.32142857142857145"/>
    <n v="0.15789473684210525"/>
  </r>
  <r>
    <n v="25"/>
    <x v="24"/>
    <s v="Marketing"/>
    <s v="Executive"/>
    <s v="L3"/>
    <x v="0"/>
    <n v="50000"/>
    <n v="15000"/>
    <n v="65000"/>
    <n v="150000"/>
    <n v="-0.56666666666666665"/>
    <n v="0.23076923076923078"/>
  </r>
  <r>
    <n v="26"/>
    <x v="25"/>
    <s v="Finance"/>
    <s v="Analyst"/>
    <s v="L6"/>
    <x v="1"/>
    <n v="100000"/>
    <n v="18000"/>
    <n v="118000"/>
    <n v="150000"/>
    <n v="-0.21333333333333335"/>
    <n v="0.15254237288135594"/>
  </r>
  <r>
    <n v="27"/>
    <x v="26"/>
    <s v="HR"/>
    <s v="Manager"/>
    <s v="L6"/>
    <x v="0"/>
    <n v="90000"/>
    <n v="15000"/>
    <n v="105000"/>
    <n v="150000"/>
    <n v="-0.3"/>
    <n v="0.14285714285714285"/>
  </r>
  <r>
    <n v="28"/>
    <x v="27"/>
    <s v="IT"/>
    <s v="Manager"/>
    <s v="L4"/>
    <x v="3"/>
    <n v="80000"/>
    <n v="12000"/>
    <n v="92000"/>
    <n v="140000"/>
    <n v="-0.34285714285714286"/>
    <n v="0.13043478260869565"/>
  </r>
  <r>
    <n v="29"/>
    <x v="28"/>
    <s v="Marketing"/>
    <s v="Intern"/>
    <s v="L6"/>
    <x v="3"/>
    <n v="65000"/>
    <n v="16000"/>
    <n v="81000"/>
    <n v="220000"/>
    <n v="-0.63181818181818183"/>
    <n v="0.19753086419753085"/>
  </r>
  <r>
    <n v="30"/>
    <x v="29"/>
    <s v="Marketing"/>
    <s v="Analyst"/>
    <s v="L1"/>
    <x v="3"/>
    <n v="65000"/>
    <n v="12000"/>
    <n v="77000"/>
    <n v="160000"/>
    <n v="-0.51875000000000004"/>
    <n v="0.15584415584415584"/>
  </r>
  <r>
    <n v="31"/>
    <x v="30"/>
    <s v="Marketing"/>
    <s v="Analyst"/>
    <s v="L2"/>
    <x v="4"/>
    <n v="80000"/>
    <n v="20000"/>
    <n v="100000"/>
    <n v="200000"/>
    <n v="-0.5"/>
    <n v="0.2"/>
  </r>
  <r>
    <n v="32"/>
    <x v="31"/>
    <s v="Marketing"/>
    <s v="Director"/>
    <s v="L2"/>
    <x v="3"/>
    <n v="65000"/>
    <n v="15000"/>
    <n v="80000"/>
    <n v="200000"/>
    <n v="-0.6"/>
    <n v="0.1875"/>
  </r>
  <r>
    <n v="33"/>
    <x v="32"/>
    <s v="HR"/>
    <s v="Manager"/>
    <s v="L2"/>
    <x v="0"/>
    <n v="80000"/>
    <n v="20000"/>
    <n v="100000"/>
    <n v="120000"/>
    <n v="-0.16666666666666666"/>
    <n v="0.2"/>
  </r>
  <r>
    <n v="34"/>
    <x v="33"/>
    <s v="IT"/>
    <s v="Executive"/>
    <s v="L5"/>
    <x v="2"/>
    <n v="65000"/>
    <n v="20000"/>
    <n v="85000"/>
    <n v="100000"/>
    <n v="-0.15"/>
    <n v="0.23529411764705882"/>
  </r>
  <r>
    <n v="35"/>
    <x v="34"/>
    <s v="Sales"/>
    <s v="Executive"/>
    <s v="L4"/>
    <x v="4"/>
    <n v="65000"/>
    <n v="17000"/>
    <n v="82000"/>
    <n v="182500"/>
    <n v="-0.55068493150684927"/>
    <n v="0.2073170731707317"/>
  </r>
  <r>
    <n v="36"/>
    <x v="35"/>
    <s v="Marketing"/>
    <s v="Director"/>
    <s v="L6"/>
    <x v="0"/>
    <n v="95000"/>
    <n v="12000"/>
    <n v="107000"/>
    <n v="160000"/>
    <n v="-0.33124999999999999"/>
    <n v="0.11214953271028037"/>
  </r>
  <r>
    <n v="37"/>
    <x v="36"/>
    <s v="HR"/>
    <s v="Analyst"/>
    <s v="L3"/>
    <x v="2"/>
    <n v="50000"/>
    <n v="15000"/>
    <n v="65000"/>
    <n v="100000"/>
    <n v="-0.35"/>
    <n v="0.23076923076923078"/>
  </r>
  <r>
    <n v="38"/>
    <x v="37"/>
    <s v="Finance"/>
    <s v="Intern"/>
    <s v="L1"/>
    <x v="1"/>
    <n v="65000"/>
    <n v="12000"/>
    <n v="77000"/>
    <n v="220000"/>
    <n v="-0.65"/>
    <n v="0.15584415584415584"/>
  </r>
  <r>
    <n v="39"/>
    <x v="38"/>
    <s v="HR"/>
    <s v="Director"/>
    <s v="L1"/>
    <x v="2"/>
    <n v="65000"/>
    <n v="14000"/>
    <n v="79000"/>
    <n v="220000"/>
    <n v="-0.64090909090909087"/>
    <n v="0.17721518987341772"/>
  </r>
  <r>
    <n v="40"/>
    <x v="39"/>
    <s v="Marketing"/>
    <s v="Director"/>
    <s v="L6"/>
    <x v="4"/>
    <n v="65000"/>
    <n v="12000"/>
    <n v="77000"/>
    <n v="182500"/>
    <n v="-0.57808219178082187"/>
    <n v="0.15584415584415584"/>
  </r>
  <r>
    <n v="41"/>
    <x v="40"/>
    <s v="Sales"/>
    <s v="Analyst"/>
    <s v="L2"/>
    <x v="1"/>
    <n v="80000"/>
    <n v="16000"/>
    <n v="96000"/>
    <n v="220000"/>
    <n v="-0.5636363636363636"/>
    <n v="0.16666666666666666"/>
  </r>
  <r>
    <n v="42"/>
    <x v="41"/>
    <s v="Marketing"/>
    <s v="Intern"/>
    <s v="L6"/>
    <x v="0"/>
    <n v="85000"/>
    <n v="15000"/>
    <n v="100000"/>
    <n v="135000"/>
    <n v="-0.25925925925925924"/>
    <n v="0.15"/>
  </r>
  <r>
    <n v="43"/>
    <x v="42"/>
    <s v="Marketing"/>
    <s v="Manager"/>
    <s v="L2"/>
    <x v="3"/>
    <n v="85000"/>
    <n v="20000"/>
    <n v="105000"/>
    <n v="120000"/>
    <n v="-0.125"/>
    <n v="0.19047619047619047"/>
  </r>
  <r>
    <n v="44"/>
    <x v="43"/>
    <s v="Marketing"/>
    <s v="Manager"/>
    <s v="L3"/>
    <x v="1"/>
    <n v="100000"/>
    <n v="11000"/>
    <n v="111000"/>
    <n v="150000"/>
    <n v="-0.26"/>
    <n v="9.90990990990991E-2"/>
  </r>
  <r>
    <n v="45"/>
    <x v="44"/>
    <s v="IT"/>
    <s v="Analyst"/>
    <s v="L6"/>
    <x v="2"/>
    <n v="95000"/>
    <n v="12000"/>
    <n v="107000"/>
    <n v="750000"/>
    <n v="-0.85733333333333328"/>
    <n v="0.11214953271028037"/>
  </r>
  <r>
    <n v="46"/>
    <x v="45"/>
    <s v="IT"/>
    <s v="Manager"/>
    <s v="L4"/>
    <x v="3"/>
    <n v="90000"/>
    <n v="12000"/>
    <n v="102000"/>
    <n v="100000"/>
    <n v="0.02"/>
    <n v="0.11764705882352941"/>
  </r>
  <r>
    <n v="47"/>
    <x v="46"/>
    <s v="IT"/>
    <s v="Manager"/>
    <s v="L6"/>
    <x v="1"/>
    <n v="75000"/>
    <n v="12000"/>
    <n v="87000"/>
    <n v="100000"/>
    <n v="-0.13"/>
    <n v="0.13793103448275862"/>
  </r>
  <r>
    <n v="48"/>
    <x v="47"/>
    <s v="Sales"/>
    <s v="Analyst"/>
    <s v="L5"/>
    <x v="4"/>
    <n v="80000"/>
    <n v="13000"/>
    <n v="93000"/>
    <n v="140000"/>
    <n v="-0.33571428571428569"/>
    <n v="0.13978494623655913"/>
  </r>
  <r>
    <n v="49"/>
    <x v="48"/>
    <s v="HR"/>
    <s v="Executive"/>
    <s v="L5"/>
    <x v="2"/>
    <n v="75000"/>
    <n v="20000"/>
    <n v="95000"/>
    <n v="750000"/>
    <n v="-0.87333333333333329"/>
    <n v="0.21052631578947367"/>
  </r>
  <r>
    <n v="50"/>
    <x v="49"/>
    <s v="IT"/>
    <s v="Director"/>
    <s v="L5"/>
    <x v="2"/>
    <n v="95000"/>
    <n v="14000"/>
    <n v="109000"/>
    <n v="140000"/>
    <n v="-0.22142857142857142"/>
    <n v="0.12844036697247707"/>
  </r>
  <r>
    <n v="51"/>
    <x v="50"/>
    <s v="Sales"/>
    <s v="Analyst"/>
    <s v="L1"/>
    <x v="0"/>
    <n v="65000"/>
    <n v="20000"/>
    <n v="85000"/>
    <n v="182500"/>
    <n v="-0.53424657534246578"/>
    <n v="0.23529411764705882"/>
  </r>
  <r>
    <n v="52"/>
    <x v="51"/>
    <s v="HR"/>
    <s v="Analyst"/>
    <s v="L3"/>
    <x v="3"/>
    <n v="80000"/>
    <n v="19000"/>
    <n v="99000"/>
    <n v="120000"/>
    <n v="-0.17499999999999999"/>
    <n v="0.19191919191919191"/>
  </r>
  <r>
    <n v="53"/>
    <x v="52"/>
    <s v="Marketing"/>
    <s v="Manager"/>
    <s v="L3"/>
    <x v="0"/>
    <n v="75000"/>
    <n v="13000"/>
    <n v="88000"/>
    <n v="150000"/>
    <n v="-0.41333333333333333"/>
    <n v="0.14772727272727273"/>
  </r>
  <r>
    <n v="54"/>
    <x v="53"/>
    <s v="IT"/>
    <s v="Intern"/>
    <s v="L6"/>
    <x v="3"/>
    <n v="65000"/>
    <n v="15000"/>
    <n v="80000"/>
    <n v="100000"/>
    <n v="-0.2"/>
    <n v="0.1875"/>
  </r>
  <r>
    <n v="55"/>
    <x v="54"/>
    <s v="IT"/>
    <s v="Manager"/>
    <s v="L2"/>
    <x v="1"/>
    <n v="80000"/>
    <n v="12000"/>
    <n v="92000"/>
    <n v="135000"/>
    <n v="-0.31851851851851853"/>
    <n v="0.13043478260869565"/>
  </r>
  <r>
    <n v="56"/>
    <x v="55"/>
    <s v="IT"/>
    <s v="Director"/>
    <s v="L2"/>
    <x v="2"/>
    <n v="90000"/>
    <n v="18000"/>
    <n v="108000"/>
    <n v="100000"/>
    <n v="0.08"/>
    <n v="0.16666666666666666"/>
  </r>
  <r>
    <n v="57"/>
    <x v="56"/>
    <s v="Finance"/>
    <s v="Analyst"/>
    <s v="L2"/>
    <x v="2"/>
    <n v="95000"/>
    <n v="16000"/>
    <n v="111000"/>
    <n v="182500"/>
    <n v="-0.39178082191780822"/>
    <n v="0.14414414414414414"/>
  </r>
  <r>
    <n v="58"/>
    <x v="57"/>
    <s v="Sales"/>
    <s v="Executive"/>
    <s v="L4"/>
    <x v="4"/>
    <n v="85000"/>
    <n v="15000"/>
    <n v="100000"/>
    <n v="160000"/>
    <n v="-0.375"/>
    <n v="0.15"/>
  </r>
  <r>
    <n v="59"/>
    <x v="58"/>
    <s v="IT"/>
    <s v="Intern"/>
    <s v="L1"/>
    <x v="4"/>
    <n v="65000"/>
    <n v="19000"/>
    <n v="84000"/>
    <n v="135000"/>
    <n v="-0.37777777777777777"/>
    <n v="0.22619047619047619"/>
  </r>
  <r>
    <n v="60"/>
    <x v="59"/>
    <s v="HR"/>
    <s v="Manager"/>
    <s v="L6"/>
    <x v="1"/>
    <n v="80000"/>
    <n v="20000"/>
    <n v="100000"/>
    <n v="220000"/>
    <n v="-0.54545454545454541"/>
    <n v="0.2"/>
  </r>
  <r>
    <n v="61"/>
    <x v="60"/>
    <s v="Marketing"/>
    <s v="Manager"/>
    <s v="L4"/>
    <x v="2"/>
    <n v="55000"/>
    <n v="12000"/>
    <n v="67000"/>
    <n v="150000"/>
    <n v="-0.55333333333333334"/>
    <n v="0.17910447761194029"/>
  </r>
  <r>
    <n v="62"/>
    <x v="61"/>
    <s v="HR"/>
    <s v="Intern"/>
    <s v="L4"/>
    <x v="1"/>
    <n v="80000"/>
    <n v="12000"/>
    <n v="92000"/>
    <n v="135000"/>
    <n v="-0.31851851851851853"/>
    <n v="0.13043478260869565"/>
  </r>
  <r>
    <n v="63"/>
    <x v="62"/>
    <s v="HR"/>
    <s v="Analyst"/>
    <s v="L2"/>
    <x v="0"/>
    <n v="50000"/>
    <n v="15000"/>
    <n v="65000"/>
    <n v="160000"/>
    <n v="-0.59375"/>
    <n v="0.23076923076923078"/>
  </r>
  <r>
    <n v="64"/>
    <x v="63"/>
    <s v="Finance"/>
    <s v="Intern"/>
    <s v="L6"/>
    <x v="3"/>
    <n v="80000"/>
    <n v="13000"/>
    <n v="93000"/>
    <n v="100000"/>
    <n v="-7.0000000000000007E-2"/>
    <n v="0.13978494623655913"/>
  </r>
  <r>
    <n v="65"/>
    <x v="64"/>
    <s v="Marketing"/>
    <s v="Intern"/>
    <s v="L5"/>
    <x v="2"/>
    <n v="65000"/>
    <n v="12000"/>
    <n v="77000"/>
    <n v="160000"/>
    <n v="-0.51875000000000004"/>
    <n v="0.15584415584415584"/>
  </r>
  <r>
    <n v="66"/>
    <x v="64"/>
    <s v="Marketing"/>
    <s v="Intern"/>
    <s v="L6"/>
    <x v="4"/>
    <n v="65000"/>
    <n v="19000"/>
    <n v="84000"/>
    <n v="140000"/>
    <n v="-0.4"/>
    <n v="0.22619047619047619"/>
  </r>
  <r>
    <n v="67"/>
    <x v="65"/>
    <s v="Marketing"/>
    <s v="Manager"/>
    <s v="L3"/>
    <x v="3"/>
    <n v="85000"/>
    <n v="15000"/>
    <n v="100000"/>
    <n v="120000"/>
    <n v="-0.16666666666666666"/>
    <n v="0.15"/>
  </r>
  <r>
    <n v="68"/>
    <x v="66"/>
    <s v="Sales"/>
    <s v="Manager"/>
    <s v="L3"/>
    <x v="2"/>
    <n v="80000"/>
    <n v="12000"/>
    <n v="92000"/>
    <n v="120000"/>
    <n v="-0.23333333333333334"/>
    <n v="0.13043478260869565"/>
  </r>
  <r>
    <n v="69"/>
    <x v="67"/>
    <s v="Marketing"/>
    <s v="Intern"/>
    <s v="L6"/>
    <x v="2"/>
    <n v="70000"/>
    <n v="18000"/>
    <n v="88000"/>
    <n v="120000"/>
    <n v="-0.26666666666666666"/>
    <n v="0.20454545454545456"/>
  </r>
  <r>
    <n v="70"/>
    <x v="68"/>
    <s v="Sales"/>
    <s v="Executive"/>
    <s v="L4"/>
    <x v="0"/>
    <n v="65000"/>
    <n v="18000"/>
    <n v="83000"/>
    <n v="120000"/>
    <n v="-0.30833333333333335"/>
    <n v="0.21686746987951808"/>
  </r>
  <r>
    <n v="71"/>
    <x v="69"/>
    <s v="HR"/>
    <s v="Executive"/>
    <s v="L3"/>
    <x v="1"/>
    <n v="85000"/>
    <n v="16000"/>
    <n v="101000"/>
    <n v="120000"/>
    <n v="-0.15833333333333333"/>
    <n v="0.15841584158415842"/>
  </r>
  <r>
    <n v="72"/>
    <x v="70"/>
    <s v="Finance"/>
    <s v="Manager"/>
    <s v="L3"/>
    <x v="2"/>
    <n v="55000"/>
    <n v="20000"/>
    <n v="75000"/>
    <n v="200000"/>
    <n v="-0.625"/>
    <n v="0.26666666666666666"/>
  </r>
  <r>
    <n v="73"/>
    <x v="71"/>
    <s v="Marketing"/>
    <s v="Analyst"/>
    <s v="L2"/>
    <x v="2"/>
    <n v="70000"/>
    <n v="15000"/>
    <n v="85000"/>
    <n v="150000"/>
    <n v="-0.43333333333333335"/>
    <n v="0.17647058823529413"/>
  </r>
  <r>
    <n v="74"/>
    <x v="72"/>
    <s v="HR"/>
    <s v="Manager"/>
    <s v="L2"/>
    <x v="2"/>
    <n v="95000"/>
    <n v="18000"/>
    <n v="113000"/>
    <n v="150000"/>
    <n v="-0.24666666666666667"/>
    <n v="0.15929203539823009"/>
  </r>
  <r>
    <n v="75"/>
    <x v="73"/>
    <s v="Finance"/>
    <s v="Executive"/>
    <s v="L5"/>
    <x v="4"/>
    <n v="80000"/>
    <n v="19000"/>
    <n v="99000"/>
    <n v="140000"/>
    <n v="-0.29285714285714287"/>
    <n v="0.19191919191919191"/>
  </r>
  <r>
    <n v="76"/>
    <x v="74"/>
    <s v="IT"/>
    <s v="Intern"/>
    <s v="L3"/>
    <x v="0"/>
    <n v="80000"/>
    <n v="17000"/>
    <n v="97000"/>
    <n v="182500"/>
    <n v="-0.46849315068493153"/>
    <n v="0.17525773195876287"/>
  </r>
  <r>
    <n v="77"/>
    <x v="75"/>
    <s v="Finance"/>
    <s v="Intern"/>
    <s v="L4"/>
    <x v="0"/>
    <n v="80000"/>
    <n v="12000"/>
    <n v="92000"/>
    <n v="100000"/>
    <n v="-0.08"/>
    <n v="0.13043478260869565"/>
  </r>
  <r>
    <n v="78"/>
    <x v="76"/>
    <s v="Sales"/>
    <s v="Director"/>
    <s v="L1"/>
    <x v="1"/>
    <n v="90000"/>
    <n v="12000"/>
    <n v="102000"/>
    <n v="140000"/>
    <n v="-0.27142857142857141"/>
    <n v="0.11764705882352941"/>
  </r>
  <r>
    <n v="79"/>
    <x v="77"/>
    <s v="HR"/>
    <s v="Executive"/>
    <s v="L2"/>
    <x v="1"/>
    <n v="80000"/>
    <n v="20000"/>
    <n v="100000"/>
    <n v="220000"/>
    <n v="-0.54545454545454541"/>
    <n v="0.2"/>
  </r>
  <r>
    <n v="80"/>
    <x v="78"/>
    <s v="Sales"/>
    <s v="Executive"/>
    <s v="L5"/>
    <x v="4"/>
    <n v="80000"/>
    <n v="17000"/>
    <n v="97000"/>
    <n v="160000"/>
    <n v="-0.39374999999999999"/>
    <n v="0.17525773195876287"/>
  </r>
  <r>
    <n v="81"/>
    <x v="79"/>
    <s v="HR"/>
    <s v="Intern"/>
    <s v="L5"/>
    <x v="1"/>
    <n v="85000"/>
    <n v="12000"/>
    <n v="97000"/>
    <n v="750000"/>
    <n v="-0.8706666666666667"/>
    <n v="0.12371134020618557"/>
  </r>
  <r>
    <n v="82"/>
    <x v="80"/>
    <s v="Finance"/>
    <s v="Manager"/>
    <s v="L2"/>
    <x v="4"/>
    <n v="80000"/>
    <n v="12000"/>
    <n v="92000"/>
    <n v="140000"/>
    <n v="-0.34285714285714286"/>
    <n v="0.13043478260869565"/>
  </r>
  <r>
    <n v="83"/>
    <x v="81"/>
    <s v="Marketing"/>
    <s v="Analyst"/>
    <s v="L4"/>
    <x v="3"/>
    <n v="55000"/>
    <n v="19000"/>
    <n v="74000"/>
    <n v="120000"/>
    <n v="-0.38333333333333336"/>
    <n v="0.25675675675675674"/>
  </r>
  <r>
    <n v="84"/>
    <x v="82"/>
    <s v="IT"/>
    <s v="Analyst"/>
    <s v="L5"/>
    <x v="1"/>
    <n v="95000"/>
    <n v="15000"/>
    <n v="110000"/>
    <n v="140000"/>
    <n v="-0.21428571428571427"/>
    <n v="0.13636363636363635"/>
  </r>
  <r>
    <n v="85"/>
    <x v="83"/>
    <s v="HR"/>
    <s v="Director"/>
    <s v="L5"/>
    <x v="2"/>
    <n v="80000"/>
    <n v="10000"/>
    <n v="90000"/>
    <n v="150000"/>
    <n v="-0.4"/>
    <n v="0.1111111111111111"/>
  </r>
  <r>
    <n v="86"/>
    <x v="84"/>
    <s v="Sales"/>
    <s v="Analyst"/>
    <s v="L6"/>
    <x v="3"/>
    <n v="50000"/>
    <n v="14000"/>
    <n v="64000"/>
    <n v="750000"/>
    <n v="-0.91466666666666663"/>
    <n v="0.21875"/>
  </r>
  <r>
    <n v="87"/>
    <x v="85"/>
    <s v="Marketing"/>
    <s v="Analyst"/>
    <s v="L2"/>
    <x v="3"/>
    <n v="90000"/>
    <n v="14000"/>
    <n v="104000"/>
    <n v="750000"/>
    <n v="-0.86133333333333328"/>
    <n v="0.13461538461538461"/>
  </r>
  <r>
    <n v="88"/>
    <x v="86"/>
    <s v="Finance"/>
    <s v="Director"/>
    <s v="L5"/>
    <x v="2"/>
    <n v="55000"/>
    <n v="19000"/>
    <n v="74000"/>
    <n v="120000"/>
    <n v="-0.38333333333333336"/>
    <n v="0.25675675675675674"/>
  </r>
  <r>
    <n v="89"/>
    <x v="87"/>
    <s v="Marketing"/>
    <s v="Analyst"/>
    <s v="L1"/>
    <x v="1"/>
    <n v="65000"/>
    <n v="12000"/>
    <n v="77000"/>
    <n v="182500"/>
    <n v="-0.57808219178082187"/>
    <n v="0.15584415584415584"/>
  </r>
  <r>
    <n v="90"/>
    <x v="88"/>
    <s v="Marketing"/>
    <s v="Intern"/>
    <s v="L6"/>
    <x v="0"/>
    <n v="70000"/>
    <n v="12000"/>
    <n v="82000"/>
    <n v="750000"/>
    <n v="-0.89066666666666672"/>
    <n v="0.14634146341463414"/>
  </r>
  <r>
    <n v="91"/>
    <x v="89"/>
    <s v="HR"/>
    <s v="Director"/>
    <s v="L2"/>
    <x v="0"/>
    <n v="80000"/>
    <n v="12000"/>
    <n v="92000"/>
    <n v="140000"/>
    <n v="-0.34285714285714286"/>
    <n v="0.13043478260869565"/>
  </r>
  <r>
    <n v="92"/>
    <x v="90"/>
    <s v="Marketing"/>
    <s v="Intern"/>
    <s v="L1"/>
    <x v="2"/>
    <n v="75000"/>
    <n v="15000"/>
    <n v="90000"/>
    <n v="182500"/>
    <n v="-0.50684931506849318"/>
    <n v="0.16666666666666666"/>
  </r>
  <r>
    <n v="93"/>
    <x v="91"/>
    <s v="Sales"/>
    <s v="Manager"/>
    <s v="L5"/>
    <x v="4"/>
    <n v="90000"/>
    <n v="15000"/>
    <n v="105000"/>
    <n v="150000"/>
    <n v="-0.3"/>
    <n v="0.14285714285714285"/>
  </r>
  <r>
    <n v="94"/>
    <x v="92"/>
    <s v="Finance"/>
    <s v="Manager"/>
    <s v="L6"/>
    <x v="3"/>
    <n v="90000"/>
    <n v="19000"/>
    <n v="109000"/>
    <n v="220000"/>
    <n v="-0.50454545454545452"/>
    <n v="0.1743119266055046"/>
  </r>
  <r>
    <n v="95"/>
    <x v="93"/>
    <s v="Marketing"/>
    <s v="Director"/>
    <s v="L4"/>
    <x v="3"/>
    <n v="80000"/>
    <n v="14000"/>
    <n v="94000"/>
    <n v="750000"/>
    <n v="-0.8746666666666667"/>
    <n v="0.14893617021276595"/>
  </r>
  <r>
    <n v="96"/>
    <x v="94"/>
    <s v="Finance"/>
    <s v="Director"/>
    <s v="L6"/>
    <x v="2"/>
    <n v="55000"/>
    <n v="12000"/>
    <n v="67000"/>
    <n v="160000"/>
    <n v="-0.58125000000000004"/>
    <n v="0.17910447761194029"/>
  </r>
  <r>
    <n v="97"/>
    <x v="95"/>
    <s v="Sales"/>
    <s v="Intern"/>
    <s v="L3"/>
    <x v="4"/>
    <n v="70000"/>
    <n v="20000"/>
    <n v="90000"/>
    <n v="135000"/>
    <n v="-0.33333333333333331"/>
    <n v="0.22222222222222221"/>
  </r>
  <r>
    <n v="98"/>
    <x v="96"/>
    <s v="Marketing"/>
    <s v="Director"/>
    <s v="L6"/>
    <x v="2"/>
    <n v="55000"/>
    <n v="15000"/>
    <n v="70000"/>
    <n v="220000"/>
    <n v="-0.68181818181818177"/>
    <n v="0.21428571428571427"/>
  </r>
  <r>
    <n v="99"/>
    <x v="97"/>
    <s v="HR"/>
    <s v="Analyst"/>
    <s v="L4"/>
    <x v="0"/>
    <n v="65000"/>
    <n v="20000"/>
    <n v="85000"/>
    <n v="160000"/>
    <n v="-0.46875"/>
    <n v="0.23529411764705882"/>
  </r>
  <r>
    <n v="100"/>
    <x v="98"/>
    <s v="HR"/>
    <s v="Intern"/>
    <s v="L6"/>
    <x v="4"/>
    <n v="80000"/>
    <n v="13000"/>
    <n v="93000"/>
    <n v="750000"/>
    <n v="-0.876"/>
    <n v="0.13978494623655913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1"/>
    <x v="0"/>
    <x v="0"/>
    <s v="Director"/>
    <s v="L4"/>
    <s v="Vizag"/>
    <n v="65000"/>
    <n v="16000"/>
    <n v="81000"/>
    <n v="200000"/>
    <n v="-0.59499999999999997"/>
    <n v="0.19753086419753085"/>
  </r>
  <r>
    <n v="2"/>
    <x v="1"/>
    <x v="1"/>
    <s v="Manager"/>
    <s v="L1"/>
    <s v="Mumbai"/>
    <n v="95000"/>
    <n v="13000"/>
    <n v="108000"/>
    <n v="200000"/>
    <n v="-0.46"/>
    <n v="0.12037037037037036"/>
  </r>
  <r>
    <n v="3"/>
    <x v="2"/>
    <x v="0"/>
    <s v="Analyst"/>
    <s v="L2"/>
    <s v="Mumbai"/>
    <n v="80000"/>
    <n v="20000"/>
    <n v="100000"/>
    <n v="200000"/>
    <n v="-0.5"/>
    <n v="0.2"/>
  </r>
  <r>
    <n v="4"/>
    <x v="3"/>
    <x v="0"/>
    <s v="Director"/>
    <s v="L4"/>
    <s v="Vizag"/>
    <n v="65000"/>
    <n v="12000"/>
    <n v="77000"/>
    <n v="200000"/>
    <n v="-0.61499999999999999"/>
    <n v="0.15584415584415584"/>
  </r>
  <r>
    <n v="5"/>
    <x v="4"/>
    <x v="0"/>
    <s v="Director"/>
    <s v="L5"/>
    <s v="Hyderabad"/>
    <n v="100000"/>
    <n v="15000"/>
    <n v="115000"/>
    <n v="135000"/>
    <n v="-0.14814814814814814"/>
    <n v="0.13043478260869565"/>
  </r>
  <r>
    <n v="6"/>
    <x v="5"/>
    <x v="2"/>
    <s v="Director"/>
    <s v="L3"/>
    <s v="Hyderabad"/>
    <n v="55000"/>
    <n v="12000"/>
    <n v="67000"/>
    <n v="150000"/>
    <n v="-0.55333333333333334"/>
    <n v="0.17910447761194029"/>
  </r>
  <r>
    <n v="7"/>
    <x v="6"/>
    <x v="0"/>
    <s v="Director"/>
    <s v="L3"/>
    <s v="Hyderabad"/>
    <n v="90000"/>
    <n v="12000"/>
    <n v="102000"/>
    <n v="150000"/>
    <n v="-0.32"/>
    <n v="0.11764705882352941"/>
  </r>
  <r>
    <n v="8"/>
    <x v="7"/>
    <x v="3"/>
    <s v="Executive"/>
    <s v="L1"/>
    <s v="Delhi"/>
    <n v="80000"/>
    <n v="10000"/>
    <n v="90000"/>
    <n v="135000"/>
    <n v="-0.33333333333333331"/>
    <n v="0.1111111111111111"/>
  </r>
  <r>
    <n v="9"/>
    <x v="8"/>
    <x v="0"/>
    <s v="Executive"/>
    <s v="L5"/>
    <s v="Bangalore"/>
    <n v="65000"/>
    <n v="14000"/>
    <n v="79000"/>
    <n v="135000"/>
    <n v="-0.4148148148148148"/>
    <n v="0.17721518987341772"/>
  </r>
  <r>
    <n v="10"/>
    <x v="9"/>
    <x v="3"/>
    <s v="Executive"/>
    <s v="L3"/>
    <s v="Mumbai"/>
    <n v="90000"/>
    <n v="11000"/>
    <n v="101000"/>
    <n v="160000"/>
    <n v="-0.36875000000000002"/>
    <n v="0.10891089108910891"/>
  </r>
  <r>
    <n v="11"/>
    <x v="10"/>
    <x v="0"/>
    <s v="Director"/>
    <s v="L4"/>
    <s v="Mumbai"/>
    <n v="55000"/>
    <n v="15000"/>
    <n v="70000"/>
    <n v="140000"/>
    <n v="-0.5"/>
    <n v="0.21428571428571427"/>
  </r>
  <r>
    <n v="12"/>
    <x v="11"/>
    <x v="2"/>
    <s v="Executive"/>
    <s v="L5"/>
    <s v="Bangalore"/>
    <n v="80000"/>
    <n v="18000"/>
    <n v="98000"/>
    <n v="150000"/>
    <n v="-0.34666666666666668"/>
    <n v="0.18367346938775511"/>
  </r>
  <r>
    <n v="13"/>
    <x v="12"/>
    <x v="4"/>
    <s v="Intern"/>
    <s v="L6"/>
    <s v="Bangalore"/>
    <n v="50000"/>
    <n v="12000"/>
    <n v="62000"/>
    <n v="220000"/>
    <n v="-0.71818181818181814"/>
    <n v="0.19354838709677419"/>
  </r>
  <r>
    <n v="14"/>
    <x v="13"/>
    <x v="4"/>
    <s v="Analyst"/>
    <s v="L3"/>
    <s v="Delhi"/>
    <n v="100000"/>
    <n v="18000"/>
    <n v="118000"/>
    <n v="120000"/>
    <n v="-1.6666666666666666E-2"/>
    <n v="0.15254237288135594"/>
  </r>
  <r>
    <n v="15"/>
    <x v="14"/>
    <x v="1"/>
    <s v="Manager"/>
    <s v="L5"/>
    <s v="Mumbai"/>
    <n v="75000"/>
    <n v="15000"/>
    <n v="90000"/>
    <n v="120000"/>
    <n v="-0.25"/>
    <n v="0.16666666666666666"/>
  </r>
  <r>
    <n v="16"/>
    <x v="15"/>
    <x v="3"/>
    <s v="Intern"/>
    <s v="L2"/>
    <s v="Vizag"/>
    <n v="65000"/>
    <n v="12000"/>
    <n v="77000"/>
    <n v="160000"/>
    <n v="-0.51875000000000004"/>
    <n v="0.15584415584415584"/>
  </r>
  <r>
    <n v="17"/>
    <x v="16"/>
    <x v="2"/>
    <s v="Executive"/>
    <s v="L1"/>
    <s v="Delhi"/>
    <n v="95000"/>
    <n v="12000"/>
    <n v="107000"/>
    <n v="182500"/>
    <n v="-0.41369863013698632"/>
    <n v="0.11214953271028037"/>
  </r>
  <r>
    <n v="18"/>
    <x v="17"/>
    <x v="0"/>
    <s v="Intern"/>
    <s v="L5"/>
    <s v="Mumbai"/>
    <n v="50000"/>
    <n v="10000"/>
    <n v="60000"/>
    <n v="120000"/>
    <n v="-0.5"/>
    <n v="0.16666666666666666"/>
  </r>
  <r>
    <n v="19"/>
    <x v="18"/>
    <x v="2"/>
    <s v="Executive"/>
    <s v="L5"/>
    <s v="Hyderabad"/>
    <n v="65000"/>
    <n v="12000"/>
    <n v="77000"/>
    <n v="182500"/>
    <n v="-0.57808219178082187"/>
    <n v="0.15584415584415584"/>
  </r>
  <r>
    <n v="20"/>
    <x v="19"/>
    <x v="3"/>
    <s v="Executive"/>
    <s v="L5"/>
    <s v="Hyderabad"/>
    <n v="80000"/>
    <n v="12000"/>
    <n v="92000"/>
    <n v="100000"/>
    <n v="-0.08"/>
    <n v="0.13043478260869565"/>
  </r>
  <r>
    <n v="21"/>
    <x v="20"/>
    <x v="4"/>
    <s v="Director"/>
    <s v="L6"/>
    <s v="Vizag"/>
    <n v="75000"/>
    <n v="12000"/>
    <n v="87000"/>
    <n v="120000"/>
    <n v="-0.27500000000000002"/>
    <n v="0.13793103448275862"/>
  </r>
  <r>
    <n v="22"/>
    <x v="21"/>
    <x v="0"/>
    <s v="Manager"/>
    <s v="L2"/>
    <s v="Bangalore"/>
    <n v="95000"/>
    <n v="13000"/>
    <n v="108000"/>
    <n v="200000"/>
    <n v="-0.46"/>
    <n v="0.12037037037037036"/>
  </r>
  <r>
    <n v="23"/>
    <x v="22"/>
    <x v="3"/>
    <s v="Executive"/>
    <s v="L2"/>
    <s v="Mumbai"/>
    <n v="65000"/>
    <n v="14000"/>
    <n v="79000"/>
    <n v="160000"/>
    <n v="-0.50624999999999998"/>
    <n v="0.17721518987341772"/>
  </r>
  <r>
    <n v="24"/>
    <x v="23"/>
    <x v="2"/>
    <s v="Executive"/>
    <s v="L1"/>
    <s v="Hyderabad"/>
    <n v="80000"/>
    <n v="15000"/>
    <n v="95000"/>
    <n v="140000"/>
    <n v="-0.32142857142857145"/>
    <n v="0.15789473684210525"/>
  </r>
  <r>
    <n v="25"/>
    <x v="24"/>
    <x v="0"/>
    <s v="Executive"/>
    <s v="L3"/>
    <s v="Vizag"/>
    <n v="50000"/>
    <n v="15000"/>
    <n v="65000"/>
    <n v="150000"/>
    <n v="-0.56666666666666665"/>
    <n v="0.23076923076923078"/>
  </r>
  <r>
    <n v="26"/>
    <x v="25"/>
    <x v="1"/>
    <s v="Analyst"/>
    <s v="L6"/>
    <s v="Mumbai"/>
    <n v="100000"/>
    <n v="18000"/>
    <n v="118000"/>
    <n v="150000"/>
    <n v="-0.21333333333333335"/>
    <n v="0.15254237288135594"/>
  </r>
  <r>
    <n v="27"/>
    <x v="26"/>
    <x v="2"/>
    <s v="Manager"/>
    <s v="L6"/>
    <s v="Vizag"/>
    <n v="90000"/>
    <n v="15000"/>
    <n v="105000"/>
    <n v="150000"/>
    <n v="-0.3"/>
    <n v="0.14285714285714285"/>
  </r>
  <r>
    <n v="28"/>
    <x v="27"/>
    <x v="3"/>
    <s v="Manager"/>
    <s v="L4"/>
    <s v="Delhi"/>
    <n v="80000"/>
    <n v="12000"/>
    <n v="92000"/>
    <n v="140000"/>
    <n v="-0.34285714285714286"/>
    <n v="0.13043478260869565"/>
  </r>
  <r>
    <n v="29"/>
    <x v="28"/>
    <x v="0"/>
    <s v="Intern"/>
    <s v="L6"/>
    <s v="Delhi"/>
    <n v="65000"/>
    <n v="16000"/>
    <n v="81000"/>
    <n v="220000"/>
    <n v="-0.63181818181818183"/>
    <n v="0.19753086419753085"/>
  </r>
  <r>
    <n v="30"/>
    <x v="29"/>
    <x v="0"/>
    <s v="Analyst"/>
    <s v="L1"/>
    <s v="Delhi"/>
    <n v="65000"/>
    <n v="12000"/>
    <n v="77000"/>
    <n v="160000"/>
    <n v="-0.51875000000000004"/>
    <n v="0.15584415584415584"/>
  </r>
  <r>
    <n v="31"/>
    <x v="30"/>
    <x v="0"/>
    <s v="Analyst"/>
    <s v="L2"/>
    <s v="Bangalore"/>
    <n v="80000"/>
    <n v="20000"/>
    <n v="100000"/>
    <n v="200000"/>
    <n v="-0.5"/>
    <n v="0.2"/>
  </r>
  <r>
    <n v="32"/>
    <x v="31"/>
    <x v="0"/>
    <s v="Director"/>
    <s v="L2"/>
    <s v="Delhi"/>
    <n v="65000"/>
    <n v="15000"/>
    <n v="80000"/>
    <n v="200000"/>
    <n v="-0.6"/>
    <n v="0.1875"/>
  </r>
  <r>
    <n v="33"/>
    <x v="32"/>
    <x v="2"/>
    <s v="Manager"/>
    <s v="L2"/>
    <s v="Vizag"/>
    <n v="80000"/>
    <n v="20000"/>
    <n v="100000"/>
    <n v="120000"/>
    <n v="-0.16666666666666666"/>
    <n v="0.2"/>
  </r>
  <r>
    <n v="34"/>
    <x v="33"/>
    <x v="3"/>
    <s v="Executive"/>
    <s v="L5"/>
    <s v="Hyderabad"/>
    <n v="65000"/>
    <n v="20000"/>
    <n v="85000"/>
    <n v="100000"/>
    <n v="-0.15"/>
    <n v="0.23529411764705882"/>
  </r>
  <r>
    <n v="35"/>
    <x v="34"/>
    <x v="4"/>
    <s v="Executive"/>
    <s v="L4"/>
    <s v="Bangalore"/>
    <n v="65000"/>
    <n v="17000"/>
    <n v="82000"/>
    <n v="182500"/>
    <n v="-0.55068493150684927"/>
    <n v="0.2073170731707317"/>
  </r>
  <r>
    <n v="36"/>
    <x v="35"/>
    <x v="0"/>
    <s v="Director"/>
    <s v="L6"/>
    <s v="Vizag"/>
    <n v="95000"/>
    <n v="12000"/>
    <n v="107000"/>
    <n v="160000"/>
    <n v="-0.33124999999999999"/>
    <n v="0.11214953271028037"/>
  </r>
  <r>
    <n v="37"/>
    <x v="36"/>
    <x v="2"/>
    <s v="Analyst"/>
    <s v="L3"/>
    <s v="Hyderabad"/>
    <n v="50000"/>
    <n v="15000"/>
    <n v="65000"/>
    <n v="100000"/>
    <n v="-0.35"/>
    <n v="0.23076923076923078"/>
  </r>
  <r>
    <n v="38"/>
    <x v="37"/>
    <x v="1"/>
    <s v="Intern"/>
    <s v="L1"/>
    <s v="Mumbai"/>
    <n v="65000"/>
    <n v="12000"/>
    <n v="77000"/>
    <n v="220000"/>
    <n v="-0.65"/>
    <n v="0.15584415584415584"/>
  </r>
  <r>
    <n v="39"/>
    <x v="38"/>
    <x v="2"/>
    <s v="Director"/>
    <s v="L1"/>
    <s v="Hyderabad"/>
    <n v="65000"/>
    <n v="14000"/>
    <n v="79000"/>
    <n v="220000"/>
    <n v="-0.64090909090909087"/>
    <n v="0.17721518987341772"/>
  </r>
  <r>
    <n v="40"/>
    <x v="39"/>
    <x v="0"/>
    <s v="Director"/>
    <s v="L6"/>
    <s v="Bangalore"/>
    <n v="65000"/>
    <n v="12000"/>
    <n v="77000"/>
    <n v="182500"/>
    <n v="-0.57808219178082187"/>
    <n v="0.15584415584415584"/>
  </r>
  <r>
    <n v="41"/>
    <x v="40"/>
    <x v="4"/>
    <s v="Analyst"/>
    <s v="L2"/>
    <s v="Mumbai"/>
    <n v="80000"/>
    <n v="16000"/>
    <n v="96000"/>
    <n v="220000"/>
    <n v="-0.5636363636363636"/>
    <n v="0.16666666666666666"/>
  </r>
  <r>
    <n v="42"/>
    <x v="41"/>
    <x v="0"/>
    <s v="Intern"/>
    <s v="L6"/>
    <s v="Vizag"/>
    <n v="85000"/>
    <n v="15000"/>
    <n v="100000"/>
    <n v="135000"/>
    <n v="-0.25925925925925924"/>
    <n v="0.15"/>
  </r>
  <r>
    <n v="43"/>
    <x v="42"/>
    <x v="0"/>
    <s v="Manager"/>
    <s v="L2"/>
    <s v="Delhi"/>
    <n v="85000"/>
    <n v="20000"/>
    <n v="105000"/>
    <n v="120000"/>
    <n v="-0.125"/>
    <n v="0.19047619047619047"/>
  </r>
  <r>
    <n v="44"/>
    <x v="43"/>
    <x v="0"/>
    <s v="Manager"/>
    <s v="L3"/>
    <s v="Mumbai"/>
    <n v="100000"/>
    <n v="11000"/>
    <n v="111000"/>
    <n v="150000"/>
    <n v="-0.26"/>
    <n v="9.90990990990991E-2"/>
  </r>
  <r>
    <n v="45"/>
    <x v="44"/>
    <x v="3"/>
    <s v="Analyst"/>
    <s v="L6"/>
    <s v="Hyderabad"/>
    <n v="95000"/>
    <n v="12000"/>
    <n v="107000"/>
    <n v="750000"/>
    <n v="-0.85733333333333328"/>
    <n v="0.11214953271028037"/>
  </r>
  <r>
    <n v="46"/>
    <x v="45"/>
    <x v="3"/>
    <s v="Manager"/>
    <s v="L4"/>
    <s v="Delhi"/>
    <n v="90000"/>
    <n v="12000"/>
    <n v="102000"/>
    <n v="100000"/>
    <n v="0.02"/>
    <n v="0.11764705882352941"/>
  </r>
  <r>
    <n v="47"/>
    <x v="46"/>
    <x v="3"/>
    <s v="Manager"/>
    <s v="L6"/>
    <s v="Mumbai"/>
    <n v="75000"/>
    <n v="12000"/>
    <n v="87000"/>
    <n v="100000"/>
    <n v="-0.13"/>
    <n v="0.13793103448275862"/>
  </r>
  <r>
    <n v="48"/>
    <x v="47"/>
    <x v="4"/>
    <s v="Analyst"/>
    <s v="L5"/>
    <s v="Bangalore"/>
    <n v="80000"/>
    <n v="13000"/>
    <n v="93000"/>
    <n v="140000"/>
    <n v="-0.33571428571428569"/>
    <n v="0.13978494623655913"/>
  </r>
  <r>
    <n v="49"/>
    <x v="48"/>
    <x v="2"/>
    <s v="Executive"/>
    <s v="L5"/>
    <s v="Hyderabad"/>
    <n v="75000"/>
    <n v="20000"/>
    <n v="95000"/>
    <n v="750000"/>
    <n v="-0.87333333333333329"/>
    <n v="0.21052631578947367"/>
  </r>
  <r>
    <n v="50"/>
    <x v="49"/>
    <x v="3"/>
    <s v="Director"/>
    <s v="L5"/>
    <s v="Hyderabad"/>
    <n v="95000"/>
    <n v="14000"/>
    <n v="109000"/>
    <n v="140000"/>
    <n v="-0.22142857142857142"/>
    <n v="0.12844036697247707"/>
  </r>
  <r>
    <n v="51"/>
    <x v="50"/>
    <x v="4"/>
    <s v="Analyst"/>
    <s v="L1"/>
    <s v="Vizag"/>
    <n v="65000"/>
    <n v="20000"/>
    <n v="85000"/>
    <n v="182500"/>
    <n v="-0.53424657534246578"/>
    <n v="0.23529411764705882"/>
  </r>
  <r>
    <n v="52"/>
    <x v="51"/>
    <x v="2"/>
    <s v="Analyst"/>
    <s v="L3"/>
    <s v="Delhi"/>
    <n v="80000"/>
    <n v="19000"/>
    <n v="99000"/>
    <n v="120000"/>
    <n v="-0.17499999999999999"/>
    <n v="0.19191919191919191"/>
  </r>
  <r>
    <n v="53"/>
    <x v="52"/>
    <x v="0"/>
    <s v="Manager"/>
    <s v="L3"/>
    <s v="Vizag"/>
    <n v="75000"/>
    <n v="13000"/>
    <n v="88000"/>
    <n v="150000"/>
    <n v="-0.41333333333333333"/>
    <n v="0.14772727272727273"/>
  </r>
  <r>
    <n v="54"/>
    <x v="53"/>
    <x v="3"/>
    <s v="Intern"/>
    <s v="L6"/>
    <s v="Delhi"/>
    <n v="65000"/>
    <n v="15000"/>
    <n v="80000"/>
    <n v="100000"/>
    <n v="-0.2"/>
    <n v="0.1875"/>
  </r>
  <r>
    <n v="55"/>
    <x v="54"/>
    <x v="3"/>
    <s v="Manager"/>
    <s v="L2"/>
    <s v="Mumbai"/>
    <n v="80000"/>
    <n v="12000"/>
    <n v="92000"/>
    <n v="135000"/>
    <n v="-0.31851851851851853"/>
    <n v="0.13043478260869565"/>
  </r>
  <r>
    <n v="56"/>
    <x v="55"/>
    <x v="3"/>
    <s v="Director"/>
    <s v="L2"/>
    <s v="Hyderabad"/>
    <n v="90000"/>
    <n v="18000"/>
    <n v="108000"/>
    <n v="100000"/>
    <n v="0.08"/>
    <n v="0.16666666666666666"/>
  </r>
  <r>
    <n v="57"/>
    <x v="56"/>
    <x v="1"/>
    <s v="Analyst"/>
    <s v="L2"/>
    <s v="Hyderabad"/>
    <n v="95000"/>
    <n v="16000"/>
    <n v="111000"/>
    <n v="182500"/>
    <n v="-0.39178082191780822"/>
    <n v="0.14414414414414414"/>
  </r>
  <r>
    <n v="58"/>
    <x v="57"/>
    <x v="4"/>
    <s v="Executive"/>
    <s v="L4"/>
    <s v="Bangalore"/>
    <n v="85000"/>
    <n v="15000"/>
    <n v="100000"/>
    <n v="160000"/>
    <n v="-0.375"/>
    <n v="0.15"/>
  </r>
  <r>
    <n v="59"/>
    <x v="58"/>
    <x v="3"/>
    <s v="Intern"/>
    <s v="L1"/>
    <s v="Bangalore"/>
    <n v="65000"/>
    <n v="19000"/>
    <n v="84000"/>
    <n v="135000"/>
    <n v="-0.37777777777777777"/>
    <n v="0.22619047619047619"/>
  </r>
  <r>
    <n v="60"/>
    <x v="59"/>
    <x v="2"/>
    <s v="Manager"/>
    <s v="L6"/>
    <s v="Mumbai"/>
    <n v="80000"/>
    <n v="20000"/>
    <n v="100000"/>
    <n v="220000"/>
    <n v="-0.54545454545454541"/>
    <n v="0.2"/>
  </r>
  <r>
    <n v="61"/>
    <x v="60"/>
    <x v="0"/>
    <s v="Manager"/>
    <s v="L4"/>
    <s v="Hyderabad"/>
    <n v="55000"/>
    <n v="12000"/>
    <n v="67000"/>
    <n v="150000"/>
    <n v="-0.55333333333333334"/>
    <n v="0.17910447761194029"/>
  </r>
  <r>
    <n v="62"/>
    <x v="61"/>
    <x v="2"/>
    <s v="Intern"/>
    <s v="L4"/>
    <s v="Mumbai"/>
    <n v="80000"/>
    <n v="12000"/>
    <n v="92000"/>
    <n v="135000"/>
    <n v="-0.31851851851851853"/>
    <n v="0.13043478260869565"/>
  </r>
  <r>
    <n v="63"/>
    <x v="62"/>
    <x v="2"/>
    <s v="Analyst"/>
    <s v="L2"/>
    <s v="Vizag"/>
    <n v="50000"/>
    <n v="15000"/>
    <n v="65000"/>
    <n v="160000"/>
    <n v="-0.59375"/>
    <n v="0.23076923076923078"/>
  </r>
  <r>
    <n v="64"/>
    <x v="63"/>
    <x v="1"/>
    <s v="Intern"/>
    <s v="L6"/>
    <s v="Delhi"/>
    <n v="80000"/>
    <n v="13000"/>
    <n v="93000"/>
    <n v="100000"/>
    <n v="-7.0000000000000007E-2"/>
    <n v="0.13978494623655913"/>
  </r>
  <r>
    <n v="65"/>
    <x v="64"/>
    <x v="0"/>
    <s v="Intern"/>
    <s v="L5"/>
    <s v="Hyderabad"/>
    <n v="65000"/>
    <n v="12000"/>
    <n v="77000"/>
    <n v="160000"/>
    <n v="-0.51875000000000004"/>
    <n v="0.15584415584415584"/>
  </r>
  <r>
    <n v="66"/>
    <x v="64"/>
    <x v="0"/>
    <s v="Intern"/>
    <s v="L6"/>
    <s v="Bangalore"/>
    <n v="65000"/>
    <n v="19000"/>
    <n v="84000"/>
    <n v="140000"/>
    <n v="-0.4"/>
    <n v="0.22619047619047619"/>
  </r>
  <r>
    <n v="67"/>
    <x v="65"/>
    <x v="0"/>
    <s v="Manager"/>
    <s v="L3"/>
    <s v="Delhi"/>
    <n v="85000"/>
    <n v="15000"/>
    <n v="100000"/>
    <n v="120000"/>
    <n v="-0.16666666666666666"/>
    <n v="0.15"/>
  </r>
  <r>
    <n v="68"/>
    <x v="66"/>
    <x v="4"/>
    <s v="Manager"/>
    <s v="L3"/>
    <s v="Hyderabad"/>
    <n v="80000"/>
    <n v="12000"/>
    <n v="92000"/>
    <n v="120000"/>
    <n v="-0.23333333333333334"/>
    <n v="0.13043478260869565"/>
  </r>
  <r>
    <n v="69"/>
    <x v="67"/>
    <x v="0"/>
    <s v="Intern"/>
    <s v="L6"/>
    <s v="Hyderabad"/>
    <n v="70000"/>
    <n v="18000"/>
    <n v="88000"/>
    <n v="120000"/>
    <n v="-0.26666666666666666"/>
    <n v="0.20454545454545456"/>
  </r>
  <r>
    <n v="70"/>
    <x v="68"/>
    <x v="4"/>
    <s v="Executive"/>
    <s v="L4"/>
    <s v="Vizag"/>
    <n v="65000"/>
    <n v="18000"/>
    <n v="83000"/>
    <n v="120000"/>
    <n v="-0.30833333333333335"/>
    <n v="0.21686746987951808"/>
  </r>
  <r>
    <n v="71"/>
    <x v="69"/>
    <x v="2"/>
    <s v="Executive"/>
    <s v="L3"/>
    <s v="Mumbai"/>
    <n v="85000"/>
    <n v="16000"/>
    <n v="101000"/>
    <n v="120000"/>
    <n v="-0.15833333333333333"/>
    <n v="0.15841584158415842"/>
  </r>
  <r>
    <n v="72"/>
    <x v="70"/>
    <x v="1"/>
    <s v="Manager"/>
    <s v="L3"/>
    <s v="Hyderabad"/>
    <n v="55000"/>
    <n v="20000"/>
    <n v="75000"/>
    <n v="200000"/>
    <n v="-0.625"/>
    <n v="0.26666666666666666"/>
  </r>
  <r>
    <n v="73"/>
    <x v="71"/>
    <x v="0"/>
    <s v="Analyst"/>
    <s v="L2"/>
    <s v="Hyderabad"/>
    <n v="70000"/>
    <n v="15000"/>
    <n v="85000"/>
    <n v="150000"/>
    <n v="-0.43333333333333335"/>
    <n v="0.17647058823529413"/>
  </r>
  <r>
    <n v="74"/>
    <x v="72"/>
    <x v="2"/>
    <s v="Manager"/>
    <s v="L2"/>
    <s v="Hyderabad"/>
    <n v="95000"/>
    <n v="18000"/>
    <n v="113000"/>
    <n v="150000"/>
    <n v="-0.24666666666666667"/>
    <n v="0.15929203539823009"/>
  </r>
  <r>
    <n v="75"/>
    <x v="73"/>
    <x v="1"/>
    <s v="Executive"/>
    <s v="L5"/>
    <s v="Bangalore"/>
    <n v="80000"/>
    <n v="19000"/>
    <n v="99000"/>
    <n v="140000"/>
    <n v="-0.29285714285714287"/>
    <n v="0.19191919191919191"/>
  </r>
  <r>
    <n v="76"/>
    <x v="74"/>
    <x v="3"/>
    <s v="Intern"/>
    <s v="L3"/>
    <s v="Vizag"/>
    <n v="80000"/>
    <n v="17000"/>
    <n v="97000"/>
    <n v="182500"/>
    <n v="-0.46849315068493153"/>
    <n v="0.17525773195876287"/>
  </r>
  <r>
    <n v="77"/>
    <x v="75"/>
    <x v="1"/>
    <s v="Intern"/>
    <s v="L4"/>
    <s v="Vizag"/>
    <n v="80000"/>
    <n v="12000"/>
    <n v="92000"/>
    <n v="100000"/>
    <n v="-0.08"/>
    <n v="0.13043478260869565"/>
  </r>
  <r>
    <n v="78"/>
    <x v="76"/>
    <x v="4"/>
    <s v="Director"/>
    <s v="L1"/>
    <s v="Mumbai"/>
    <n v="90000"/>
    <n v="12000"/>
    <n v="102000"/>
    <n v="140000"/>
    <n v="-0.27142857142857141"/>
    <n v="0.11764705882352941"/>
  </r>
  <r>
    <n v="79"/>
    <x v="77"/>
    <x v="2"/>
    <s v="Executive"/>
    <s v="L2"/>
    <s v="Mumbai"/>
    <n v="80000"/>
    <n v="20000"/>
    <n v="100000"/>
    <n v="220000"/>
    <n v="-0.54545454545454541"/>
    <n v="0.2"/>
  </r>
  <r>
    <n v="80"/>
    <x v="78"/>
    <x v="4"/>
    <s v="Executive"/>
    <s v="L5"/>
    <s v="Bangalore"/>
    <n v="80000"/>
    <n v="17000"/>
    <n v="97000"/>
    <n v="160000"/>
    <n v="-0.39374999999999999"/>
    <n v="0.17525773195876287"/>
  </r>
  <r>
    <n v="81"/>
    <x v="79"/>
    <x v="2"/>
    <s v="Intern"/>
    <s v="L5"/>
    <s v="Mumbai"/>
    <n v="85000"/>
    <n v="12000"/>
    <n v="97000"/>
    <n v="750000"/>
    <n v="-0.8706666666666667"/>
    <n v="0.12371134020618557"/>
  </r>
  <r>
    <n v="82"/>
    <x v="80"/>
    <x v="1"/>
    <s v="Manager"/>
    <s v="L2"/>
    <s v="Bangalore"/>
    <n v="80000"/>
    <n v="12000"/>
    <n v="92000"/>
    <n v="140000"/>
    <n v="-0.34285714285714286"/>
    <n v="0.13043478260869565"/>
  </r>
  <r>
    <n v="83"/>
    <x v="81"/>
    <x v="0"/>
    <s v="Analyst"/>
    <s v="L4"/>
    <s v="Delhi"/>
    <n v="55000"/>
    <n v="19000"/>
    <n v="74000"/>
    <n v="120000"/>
    <n v="-0.38333333333333336"/>
    <n v="0.25675675675675674"/>
  </r>
  <r>
    <n v="84"/>
    <x v="82"/>
    <x v="3"/>
    <s v="Analyst"/>
    <s v="L5"/>
    <s v="Mumbai"/>
    <n v="95000"/>
    <n v="15000"/>
    <n v="110000"/>
    <n v="140000"/>
    <n v="-0.21428571428571427"/>
    <n v="0.13636363636363635"/>
  </r>
  <r>
    <n v="85"/>
    <x v="83"/>
    <x v="2"/>
    <s v="Director"/>
    <s v="L5"/>
    <s v="Hyderabad"/>
    <n v="80000"/>
    <n v="10000"/>
    <n v="90000"/>
    <n v="150000"/>
    <n v="-0.4"/>
    <n v="0.1111111111111111"/>
  </r>
  <r>
    <n v="86"/>
    <x v="84"/>
    <x v="4"/>
    <s v="Analyst"/>
    <s v="L6"/>
    <s v="Delhi"/>
    <n v="50000"/>
    <n v="14000"/>
    <n v="64000"/>
    <n v="750000"/>
    <n v="-0.91466666666666663"/>
    <n v="0.21875"/>
  </r>
  <r>
    <n v="87"/>
    <x v="85"/>
    <x v="0"/>
    <s v="Analyst"/>
    <s v="L2"/>
    <s v="Delhi"/>
    <n v="90000"/>
    <n v="14000"/>
    <n v="104000"/>
    <n v="750000"/>
    <n v="-0.86133333333333328"/>
    <n v="0.13461538461538461"/>
  </r>
  <r>
    <n v="88"/>
    <x v="86"/>
    <x v="1"/>
    <s v="Director"/>
    <s v="L5"/>
    <s v="Hyderabad"/>
    <n v="55000"/>
    <n v="19000"/>
    <n v="74000"/>
    <n v="120000"/>
    <n v="-0.38333333333333336"/>
    <n v="0.25675675675675674"/>
  </r>
  <r>
    <n v="89"/>
    <x v="87"/>
    <x v="0"/>
    <s v="Analyst"/>
    <s v="L1"/>
    <s v="Mumbai"/>
    <n v="65000"/>
    <n v="12000"/>
    <n v="77000"/>
    <n v="182500"/>
    <n v="-0.57808219178082187"/>
    <n v="0.15584415584415584"/>
  </r>
  <r>
    <n v="90"/>
    <x v="88"/>
    <x v="0"/>
    <s v="Intern"/>
    <s v="L6"/>
    <s v="Vizag"/>
    <n v="70000"/>
    <n v="12000"/>
    <n v="82000"/>
    <n v="750000"/>
    <n v="-0.89066666666666672"/>
    <n v="0.14634146341463414"/>
  </r>
  <r>
    <n v="91"/>
    <x v="89"/>
    <x v="2"/>
    <s v="Director"/>
    <s v="L2"/>
    <s v="Vizag"/>
    <n v="80000"/>
    <n v="12000"/>
    <n v="92000"/>
    <n v="140000"/>
    <n v="-0.34285714285714286"/>
    <n v="0.13043478260869565"/>
  </r>
  <r>
    <n v="92"/>
    <x v="90"/>
    <x v="0"/>
    <s v="Intern"/>
    <s v="L1"/>
    <s v="Hyderabad"/>
    <n v="75000"/>
    <n v="15000"/>
    <n v="90000"/>
    <n v="182500"/>
    <n v="-0.50684931506849318"/>
    <n v="0.16666666666666666"/>
  </r>
  <r>
    <n v="93"/>
    <x v="91"/>
    <x v="4"/>
    <s v="Manager"/>
    <s v="L5"/>
    <s v="Bangalore"/>
    <n v="90000"/>
    <n v="15000"/>
    <n v="105000"/>
    <n v="150000"/>
    <n v="-0.3"/>
    <n v="0.14285714285714285"/>
  </r>
  <r>
    <n v="94"/>
    <x v="92"/>
    <x v="1"/>
    <s v="Manager"/>
    <s v="L6"/>
    <s v="Delhi"/>
    <n v="90000"/>
    <n v="19000"/>
    <n v="109000"/>
    <n v="220000"/>
    <n v="-0.50454545454545452"/>
    <n v="0.1743119266055046"/>
  </r>
  <r>
    <n v="95"/>
    <x v="93"/>
    <x v="0"/>
    <s v="Director"/>
    <s v="L4"/>
    <s v="Delhi"/>
    <n v="80000"/>
    <n v="14000"/>
    <n v="94000"/>
    <n v="750000"/>
    <n v="-0.8746666666666667"/>
    <n v="0.14893617021276595"/>
  </r>
  <r>
    <n v="96"/>
    <x v="94"/>
    <x v="1"/>
    <s v="Director"/>
    <s v="L6"/>
    <s v="Hyderabad"/>
    <n v="55000"/>
    <n v="12000"/>
    <n v="67000"/>
    <n v="160000"/>
    <n v="-0.58125000000000004"/>
    <n v="0.17910447761194029"/>
  </r>
  <r>
    <n v="97"/>
    <x v="95"/>
    <x v="4"/>
    <s v="Intern"/>
    <s v="L3"/>
    <s v="Bangalore"/>
    <n v="70000"/>
    <n v="20000"/>
    <n v="90000"/>
    <n v="135000"/>
    <n v="-0.33333333333333331"/>
    <n v="0.22222222222222221"/>
  </r>
  <r>
    <n v="98"/>
    <x v="96"/>
    <x v="0"/>
    <s v="Director"/>
    <s v="L6"/>
    <s v="Hyderabad"/>
    <n v="55000"/>
    <n v="15000"/>
    <n v="70000"/>
    <n v="220000"/>
    <n v="-0.68181818181818177"/>
    <n v="0.21428571428571427"/>
  </r>
  <r>
    <n v="99"/>
    <x v="97"/>
    <x v="2"/>
    <s v="Analyst"/>
    <s v="L4"/>
    <s v="Vizag"/>
    <n v="65000"/>
    <n v="20000"/>
    <n v="85000"/>
    <n v="160000"/>
    <n v="-0.46875"/>
    <n v="0.23529411764705882"/>
  </r>
  <r>
    <n v="100"/>
    <x v="98"/>
    <x v="2"/>
    <s v="Intern"/>
    <s v="L6"/>
    <s v="Bangalore"/>
    <n v="80000"/>
    <n v="13000"/>
    <n v="93000"/>
    <n v="750000"/>
    <n v="-0.876"/>
    <n v="0.13978494623655913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1"/>
    <x v="0"/>
    <s v="Marketing"/>
    <x v="0"/>
    <s v="L4"/>
    <s v="Vizag"/>
    <n v="65000"/>
    <n v="16000"/>
    <n v="81000"/>
    <n v="200000"/>
    <n v="-0.59499999999999997"/>
    <n v="0.19753086419753085"/>
  </r>
  <r>
    <n v="2"/>
    <x v="1"/>
    <s v="Finance"/>
    <x v="1"/>
    <s v="L1"/>
    <s v="Mumbai"/>
    <n v="95000"/>
    <n v="13000"/>
    <n v="108000"/>
    <n v="200000"/>
    <n v="-0.46"/>
    <n v="0.12037037037037036"/>
  </r>
  <r>
    <n v="3"/>
    <x v="2"/>
    <s v="Marketing"/>
    <x v="2"/>
    <s v="L2"/>
    <s v="Mumbai"/>
    <n v="80000"/>
    <n v="20000"/>
    <n v="100000"/>
    <n v="200000"/>
    <n v="-0.5"/>
    <n v="0.2"/>
  </r>
  <r>
    <n v="4"/>
    <x v="3"/>
    <s v="Marketing"/>
    <x v="0"/>
    <s v="L4"/>
    <s v="Vizag"/>
    <n v="65000"/>
    <n v="12000"/>
    <n v="77000"/>
    <n v="200000"/>
    <n v="-0.61499999999999999"/>
    <n v="0.15584415584415584"/>
  </r>
  <r>
    <n v="5"/>
    <x v="4"/>
    <s v="Marketing"/>
    <x v="0"/>
    <s v="L5"/>
    <s v="Hyderabad"/>
    <n v="100000"/>
    <n v="15000"/>
    <n v="115000"/>
    <n v="135000"/>
    <n v="-0.14814814814814814"/>
    <n v="0.13043478260869565"/>
  </r>
  <r>
    <n v="6"/>
    <x v="5"/>
    <s v="HR"/>
    <x v="0"/>
    <s v="L3"/>
    <s v="Hyderabad"/>
    <n v="55000"/>
    <n v="12000"/>
    <n v="67000"/>
    <n v="150000"/>
    <n v="-0.55333333333333334"/>
    <n v="0.17910447761194029"/>
  </r>
  <r>
    <n v="7"/>
    <x v="6"/>
    <s v="Marketing"/>
    <x v="0"/>
    <s v="L3"/>
    <s v="Hyderabad"/>
    <n v="90000"/>
    <n v="12000"/>
    <n v="102000"/>
    <n v="150000"/>
    <n v="-0.32"/>
    <n v="0.11764705882352941"/>
  </r>
  <r>
    <n v="8"/>
    <x v="7"/>
    <s v="IT"/>
    <x v="3"/>
    <s v="L1"/>
    <s v="Delhi"/>
    <n v="80000"/>
    <n v="10000"/>
    <n v="90000"/>
    <n v="135000"/>
    <n v="-0.33333333333333331"/>
    <n v="0.1111111111111111"/>
  </r>
  <r>
    <n v="9"/>
    <x v="8"/>
    <s v="Marketing"/>
    <x v="3"/>
    <s v="L5"/>
    <s v="Bangalore"/>
    <n v="65000"/>
    <n v="14000"/>
    <n v="79000"/>
    <n v="135000"/>
    <n v="-0.4148148148148148"/>
    <n v="0.17721518987341772"/>
  </r>
  <r>
    <n v="10"/>
    <x v="9"/>
    <s v="IT"/>
    <x v="3"/>
    <s v="L3"/>
    <s v="Mumbai"/>
    <n v="90000"/>
    <n v="11000"/>
    <n v="101000"/>
    <n v="160000"/>
    <n v="-0.36875000000000002"/>
    <n v="0.10891089108910891"/>
  </r>
  <r>
    <n v="11"/>
    <x v="10"/>
    <s v="Marketing"/>
    <x v="0"/>
    <s v="L4"/>
    <s v="Mumbai"/>
    <n v="55000"/>
    <n v="15000"/>
    <n v="70000"/>
    <n v="140000"/>
    <n v="-0.5"/>
    <n v="0.21428571428571427"/>
  </r>
  <r>
    <n v="12"/>
    <x v="11"/>
    <s v="HR"/>
    <x v="3"/>
    <s v="L5"/>
    <s v="Bangalore"/>
    <n v="80000"/>
    <n v="18000"/>
    <n v="98000"/>
    <n v="150000"/>
    <n v="-0.34666666666666668"/>
    <n v="0.18367346938775511"/>
  </r>
  <r>
    <n v="13"/>
    <x v="12"/>
    <s v="Sales"/>
    <x v="4"/>
    <s v="L6"/>
    <s v="Bangalore"/>
    <n v="50000"/>
    <n v="12000"/>
    <n v="62000"/>
    <n v="220000"/>
    <n v="-0.71818181818181814"/>
    <n v="0.19354838709677419"/>
  </r>
  <r>
    <n v="14"/>
    <x v="13"/>
    <s v="Sales"/>
    <x v="2"/>
    <s v="L3"/>
    <s v="Delhi"/>
    <n v="100000"/>
    <n v="18000"/>
    <n v="118000"/>
    <n v="120000"/>
    <n v="-1.6666666666666666E-2"/>
    <n v="0.15254237288135594"/>
  </r>
  <r>
    <n v="15"/>
    <x v="14"/>
    <s v="Finance"/>
    <x v="1"/>
    <s v="L5"/>
    <s v="Mumbai"/>
    <n v="75000"/>
    <n v="15000"/>
    <n v="90000"/>
    <n v="120000"/>
    <n v="-0.25"/>
    <n v="0.16666666666666666"/>
  </r>
  <r>
    <n v="16"/>
    <x v="15"/>
    <s v="IT"/>
    <x v="4"/>
    <s v="L2"/>
    <s v="Vizag"/>
    <n v="65000"/>
    <n v="12000"/>
    <n v="77000"/>
    <n v="160000"/>
    <n v="-0.51875000000000004"/>
    <n v="0.15584415584415584"/>
  </r>
  <r>
    <n v="17"/>
    <x v="16"/>
    <s v="HR"/>
    <x v="3"/>
    <s v="L1"/>
    <s v="Delhi"/>
    <n v="95000"/>
    <n v="12000"/>
    <n v="107000"/>
    <n v="182500"/>
    <n v="-0.41369863013698632"/>
    <n v="0.11214953271028037"/>
  </r>
  <r>
    <n v="18"/>
    <x v="17"/>
    <s v="Marketing"/>
    <x v="4"/>
    <s v="L5"/>
    <s v="Mumbai"/>
    <n v="50000"/>
    <n v="10000"/>
    <n v="60000"/>
    <n v="120000"/>
    <n v="-0.5"/>
    <n v="0.16666666666666666"/>
  </r>
  <r>
    <n v="19"/>
    <x v="18"/>
    <s v="HR"/>
    <x v="3"/>
    <s v="L5"/>
    <s v="Hyderabad"/>
    <n v="65000"/>
    <n v="12000"/>
    <n v="77000"/>
    <n v="182500"/>
    <n v="-0.57808219178082187"/>
    <n v="0.15584415584415584"/>
  </r>
  <r>
    <n v="20"/>
    <x v="19"/>
    <s v="IT"/>
    <x v="3"/>
    <s v="L5"/>
    <s v="Hyderabad"/>
    <n v="80000"/>
    <n v="12000"/>
    <n v="92000"/>
    <n v="100000"/>
    <n v="-0.08"/>
    <n v="0.13043478260869565"/>
  </r>
  <r>
    <n v="21"/>
    <x v="20"/>
    <s v="Sales"/>
    <x v="0"/>
    <s v="L6"/>
    <s v="Vizag"/>
    <n v="75000"/>
    <n v="12000"/>
    <n v="87000"/>
    <n v="120000"/>
    <n v="-0.27500000000000002"/>
    <n v="0.13793103448275862"/>
  </r>
  <r>
    <n v="22"/>
    <x v="21"/>
    <s v="Marketing"/>
    <x v="1"/>
    <s v="L2"/>
    <s v="Bangalore"/>
    <n v="95000"/>
    <n v="13000"/>
    <n v="108000"/>
    <n v="200000"/>
    <n v="-0.46"/>
    <n v="0.12037037037037036"/>
  </r>
  <r>
    <n v="23"/>
    <x v="22"/>
    <s v="IT"/>
    <x v="3"/>
    <s v="L2"/>
    <s v="Mumbai"/>
    <n v="65000"/>
    <n v="14000"/>
    <n v="79000"/>
    <n v="160000"/>
    <n v="-0.50624999999999998"/>
    <n v="0.17721518987341772"/>
  </r>
  <r>
    <n v="24"/>
    <x v="23"/>
    <s v="HR"/>
    <x v="3"/>
    <s v="L1"/>
    <s v="Hyderabad"/>
    <n v="80000"/>
    <n v="15000"/>
    <n v="95000"/>
    <n v="140000"/>
    <n v="-0.32142857142857145"/>
    <n v="0.15789473684210525"/>
  </r>
  <r>
    <n v="25"/>
    <x v="24"/>
    <s v="Marketing"/>
    <x v="3"/>
    <s v="L3"/>
    <s v="Vizag"/>
    <n v="50000"/>
    <n v="15000"/>
    <n v="65000"/>
    <n v="150000"/>
    <n v="-0.56666666666666665"/>
    <n v="0.23076923076923078"/>
  </r>
  <r>
    <n v="26"/>
    <x v="25"/>
    <s v="Finance"/>
    <x v="2"/>
    <s v="L6"/>
    <s v="Mumbai"/>
    <n v="100000"/>
    <n v="18000"/>
    <n v="118000"/>
    <n v="150000"/>
    <n v="-0.21333333333333335"/>
    <n v="0.15254237288135594"/>
  </r>
  <r>
    <n v="27"/>
    <x v="26"/>
    <s v="HR"/>
    <x v="1"/>
    <s v="L6"/>
    <s v="Vizag"/>
    <n v="90000"/>
    <n v="15000"/>
    <n v="105000"/>
    <n v="150000"/>
    <n v="-0.3"/>
    <n v="0.14285714285714285"/>
  </r>
  <r>
    <n v="28"/>
    <x v="27"/>
    <s v="IT"/>
    <x v="1"/>
    <s v="L4"/>
    <s v="Delhi"/>
    <n v="80000"/>
    <n v="12000"/>
    <n v="92000"/>
    <n v="140000"/>
    <n v="-0.34285714285714286"/>
    <n v="0.13043478260869565"/>
  </r>
  <r>
    <n v="29"/>
    <x v="28"/>
    <s v="Marketing"/>
    <x v="4"/>
    <s v="L6"/>
    <s v="Delhi"/>
    <n v="65000"/>
    <n v="16000"/>
    <n v="81000"/>
    <n v="220000"/>
    <n v="-0.63181818181818183"/>
    <n v="0.19753086419753085"/>
  </r>
  <r>
    <n v="30"/>
    <x v="29"/>
    <s v="Marketing"/>
    <x v="2"/>
    <s v="L1"/>
    <s v="Delhi"/>
    <n v="65000"/>
    <n v="12000"/>
    <n v="77000"/>
    <n v="160000"/>
    <n v="-0.51875000000000004"/>
    <n v="0.15584415584415584"/>
  </r>
  <r>
    <n v="31"/>
    <x v="30"/>
    <s v="Marketing"/>
    <x v="2"/>
    <s v="L2"/>
    <s v="Bangalore"/>
    <n v="80000"/>
    <n v="20000"/>
    <n v="100000"/>
    <n v="200000"/>
    <n v="-0.5"/>
    <n v="0.2"/>
  </r>
  <r>
    <n v="32"/>
    <x v="31"/>
    <s v="Marketing"/>
    <x v="0"/>
    <s v="L2"/>
    <s v="Delhi"/>
    <n v="65000"/>
    <n v="15000"/>
    <n v="80000"/>
    <n v="200000"/>
    <n v="-0.6"/>
    <n v="0.1875"/>
  </r>
  <r>
    <n v="33"/>
    <x v="32"/>
    <s v="HR"/>
    <x v="1"/>
    <s v="L2"/>
    <s v="Vizag"/>
    <n v="80000"/>
    <n v="20000"/>
    <n v="100000"/>
    <n v="120000"/>
    <n v="-0.16666666666666666"/>
    <n v="0.2"/>
  </r>
  <r>
    <n v="34"/>
    <x v="33"/>
    <s v="IT"/>
    <x v="3"/>
    <s v="L5"/>
    <s v="Hyderabad"/>
    <n v="65000"/>
    <n v="20000"/>
    <n v="85000"/>
    <n v="100000"/>
    <n v="-0.15"/>
    <n v="0.23529411764705882"/>
  </r>
  <r>
    <n v="35"/>
    <x v="34"/>
    <s v="Sales"/>
    <x v="3"/>
    <s v="L4"/>
    <s v="Bangalore"/>
    <n v="65000"/>
    <n v="17000"/>
    <n v="82000"/>
    <n v="182500"/>
    <n v="-0.55068493150684927"/>
    <n v="0.2073170731707317"/>
  </r>
  <r>
    <n v="36"/>
    <x v="35"/>
    <s v="Marketing"/>
    <x v="0"/>
    <s v="L6"/>
    <s v="Vizag"/>
    <n v="95000"/>
    <n v="12000"/>
    <n v="107000"/>
    <n v="160000"/>
    <n v="-0.33124999999999999"/>
    <n v="0.11214953271028037"/>
  </r>
  <r>
    <n v="37"/>
    <x v="36"/>
    <s v="HR"/>
    <x v="2"/>
    <s v="L3"/>
    <s v="Hyderabad"/>
    <n v="50000"/>
    <n v="15000"/>
    <n v="65000"/>
    <n v="100000"/>
    <n v="-0.35"/>
    <n v="0.23076923076923078"/>
  </r>
  <r>
    <n v="38"/>
    <x v="37"/>
    <s v="Finance"/>
    <x v="4"/>
    <s v="L1"/>
    <s v="Mumbai"/>
    <n v="65000"/>
    <n v="12000"/>
    <n v="77000"/>
    <n v="220000"/>
    <n v="-0.65"/>
    <n v="0.15584415584415584"/>
  </r>
  <r>
    <n v="39"/>
    <x v="38"/>
    <s v="HR"/>
    <x v="0"/>
    <s v="L1"/>
    <s v="Hyderabad"/>
    <n v="65000"/>
    <n v="14000"/>
    <n v="79000"/>
    <n v="220000"/>
    <n v="-0.64090909090909087"/>
    <n v="0.17721518987341772"/>
  </r>
  <r>
    <n v="40"/>
    <x v="39"/>
    <s v="Marketing"/>
    <x v="0"/>
    <s v="L6"/>
    <s v="Bangalore"/>
    <n v="65000"/>
    <n v="12000"/>
    <n v="77000"/>
    <n v="182500"/>
    <n v="-0.57808219178082187"/>
    <n v="0.15584415584415584"/>
  </r>
  <r>
    <n v="41"/>
    <x v="40"/>
    <s v="Sales"/>
    <x v="2"/>
    <s v="L2"/>
    <s v="Mumbai"/>
    <n v="80000"/>
    <n v="16000"/>
    <n v="96000"/>
    <n v="220000"/>
    <n v="-0.5636363636363636"/>
    <n v="0.16666666666666666"/>
  </r>
  <r>
    <n v="42"/>
    <x v="41"/>
    <s v="Marketing"/>
    <x v="4"/>
    <s v="L6"/>
    <s v="Vizag"/>
    <n v="85000"/>
    <n v="15000"/>
    <n v="100000"/>
    <n v="135000"/>
    <n v="-0.25925925925925924"/>
    <n v="0.15"/>
  </r>
  <r>
    <n v="43"/>
    <x v="42"/>
    <s v="Marketing"/>
    <x v="1"/>
    <s v="L2"/>
    <s v="Delhi"/>
    <n v="85000"/>
    <n v="20000"/>
    <n v="105000"/>
    <n v="120000"/>
    <n v="-0.125"/>
    <n v="0.19047619047619047"/>
  </r>
  <r>
    <n v="44"/>
    <x v="43"/>
    <s v="Marketing"/>
    <x v="1"/>
    <s v="L3"/>
    <s v="Mumbai"/>
    <n v="100000"/>
    <n v="11000"/>
    <n v="111000"/>
    <n v="150000"/>
    <n v="-0.26"/>
    <n v="9.90990990990991E-2"/>
  </r>
  <r>
    <n v="45"/>
    <x v="44"/>
    <s v="IT"/>
    <x v="2"/>
    <s v="L6"/>
    <s v="Hyderabad"/>
    <n v="95000"/>
    <n v="12000"/>
    <n v="107000"/>
    <n v="750000"/>
    <n v="-0.85733333333333328"/>
    <n v="0.11214953271028037"/>
  </r>
  <r>
    <n v="46"/>
    <x v="45"/>
    <s v="IT"/>
    <x v="1"/>
    <s v="L4"/>
    <s v="Delhi"/>
    <n v="90000"/>
    <n v="12000"/>
    <n v="102000"/>
    <n v="100000"/>
    <n v="0.02"/>
    <n v="0.11764705882352941"/>
  </r>
  <r>
    <n v="47"/>
    <x v="46"/>
    <s v="IT"/>
    <x v="1"/>
    <s v="L6"/>
    <s v="Mumbai"/>
    <n v="75000"/>
    <n v="12000"/>
    <n v="87000"/>
    <n v="100000"/>
    <n v="-0.13"/>
    <n v="0.13793103448275862"/>
  </r>
  <r>
    <n v="48"/>
    <x v="47"/>
    <s v="Sales"/>
    <x v="2"/>
    <s v="L5"/>
    <s v="Bangalore"/>
    <n v="80000"/>
    <n v="13000"/>
    <n v="93000"/>
    <n v="140000"/>
    <n v="-0.33571428571428569"/>
    <n v="0.13978494623655913"/>
  </r>
  <r>
    <n v="49"/>
    <x v="48"/>
    <s v="HR"/>
    <x v="3"/>
    <s v="L5"/>
    <s v="Hyderabad"/>
    <n v="75000"/>
    <n v="20000"/>
    <n v="95000"/>
    <n v="750000"/>
    <n v="-0.87333333333333329"/>
    <n v="0.21052631578947367"/>
  </r>
  <r>
    <n v="50"/>
    <x v="49"/>
    <s v="IT"/>
    <x v="0"/>
    <s v="L5"/>
    <s v="Hyderabad"/>
    <n v="95000"/>
    <n v="14000"/>
    <n v="109000"/>
    <n v="140000"/>
    <n v="-0.22142857142857142"/>
    <n v="0.12844036697247707"/>
  </r>
  <r>
    <n v="51"/>
    <x v="50"/>
    <s v="Sales"/>
    <x v="2"/>
    <s v="L1"/>
    <s v="Vizag"/>
    <n v="65000"/>
    <n v="20000"/>
    <n v="85000"/>
    <n v="182500"/>
    <n v="-0.53424657534246578"/>
    <n v="0.23529411764705882"/>
  </r>
  <r>
    <n v="52"/>
    <x v="51"/>
    <s v="HR"/>
    <x v="2"/>
    <s v="L3"/>
    <s v="Delhi"/>
    <n v="80000"/>
    <n v="19000"/>
    <n v="99000"/>
    <n v="120000"/>
    <n v="-0.17499999999999999"/>
    <n v="0.19191919191919191"/>
  </r>
  <r>
    <n v="53"/>
    <x v="52"/>
    <s v="Marketing"/>
    <x v="1"/>
    <s v="L3"/>
    <s v="Vizag"/>
    <n v="75000"/>
    <n v="13000"/>
    <n v="88000"/>
    <n v="150000"/>
    <n v="-0.41333333333333333"/>
    <n v="0.14772727272727273"/>
  </r>
  <r>
    <n v="54"/>
    <x v="53"/>
    <s v="IT"/>
    <x v="4"/>
    <s v="L6"/>
    <s v="Delhi"/>
    <n v="65000"/>
    <n v="15000"/>
    <n v="80000"/>
    <n v="100000"/>
    <n v="-0.2"/>
    <n v="0.1875"/>
  </r>
  <r>
    <n v="55"/>
    <x v="54"/>
    <s v="IT"/>
    <x v="1"/>
    <s v="L2"/>
    <s v="Mumbai"/>
    <n v="80000"/>
    <n v="12000"/>
    <n v="92000"/>
    <n v="135000"/>
    <n v="-0.31851851851851853"/>
    <n v="0.13043478260869565"/>
  </r>
  <r>
    <n v="56"/>
    <x v="55"/>
    <s v="IT"/>
    <x v="0"/>
    <s v="L2"/>
    <s v="Hyderabad"/>
    <n v="90000"/>
    <n v="18000"/>
    <n v="108000"/>
    <n v="100000"/>
    <n v="0.08"/>
    <n v="0.16666666666666666"/>
  </r>
  <r>
    <n v="57"/>
    <x v="56"/>
    <s v="Finance"/>
    <x v="2"/>
    <s v="L2"/>
    <s v="Hyderabad"/>
    <n v="95000"/>
    <n v="16000"/>
    <n v="111000"/>
    <n v="182500"/>
    <n v="-0.39178082191780822"/>
    <n v="0.14414414414414414"/>
  </r>
  <r>
    <n v="58"/>
    <x v="57"/>
    <s v="Sales"/>
    <x v="3"/>
    <s v="L4"/>
    <s v="Bangalore"/>
    <n v="85000"/>
    <n v="15000"/>
    <n v="100000"/>
    <n v="160000"/>
    <n v="-0.375"/>
    <n v="0.15"/>
  </r>
  <r>
    <n v="59"/>
    <x v="58"/>
    <s v="IT"/>
    <x v="4"/>
    <s v="L1"/>
    <s v="Bangalore"/>
    <n v="65000"/>
    <n v="19000"/>
    <n v="84000"/>
    <n v="135000"/>
    <n v="-0.37777777777777777"/>
    <n v="0.22619047619047619"/>
  </r>
  <r>
    <n v="60"/>
    <x v="59"/>
    <s v="HR"/>
    <x v="1"/>
    <s v="L6"/>
    <s v="Mumbai"/>
    <n v="80000"/>
    <n v="20000"/>
    <n v="100000"/>
    <n v="220000"/>
    <n v="-0.54545454545454541"/>
    <n v="0.2"/>
  </r>
  <r>
    <n v="61"/>
    <x v="60"/>
    <s v="Marketing"/>
    <x v="1"/>
    <s v="L4"/>
    <s v="Hyderabad"/>
    <n v="55000"/>
    <n v="12000"/>
    <n v="67000"/>
    <n v="150000"/>
    <n v="-0.55333333333333334"/>
    <n v="0.17910447761194029"/>
  </r>
  <r>
    <n v="62"/>
    <x v="61"/>
    <s v="HR"/>
    <x v="4"/>
    <s v="L4"/>
    <s v="Mumbai"/>
    <n v="80000"/>
    <n v="12000"/>
    <n v="92000"/>
    <n v="135000"/>
    <n v="-0.31851851851851853"/>
    <n v="0.13043478260869565"/>
  </r>
  <r>
    <n v="63"/>
    <x v="62"/>
    <s v="HR"/>
    <x v="2"/>
    <s v="L2"/>
    <s v="Vizag"/>
    <n v="50000"/>
    <n v="15000"/>
    <n v="65000"/>
    <n v="160000"/>
    <n v="-0.59375"/>
    <n v="0.23076923076923078"/>
  </r>
  <r>
    <n v="64"/>
    <x v="63"/>
    <s v="Finance"/>
    <x v="4"/>
    <s v="L6"/>
    <s v="Delhi"/>
    <n v="80000"/>
    <n v="13000"/>
    <n v="93000"/>
    <n v="100000"/>
    <n v="-7.0000000000000007E-2"/>
    <n v="0.13978494623655913"/>
  </r>
  <r>
    <n v="65"/>
    <x v="64"/>
    <s v="Marketing"/>
    <x v="4"/>
    <s v="L5"/>
    <s v="Hyderabad"/>
    <n v="65000"/>
    <n v="12000"/>
    <n v="77000"/>
    <n v="160000"/>
    <n v="-0.51875000000000004"/>
    <n v="0.15584415584415584"/>
  </r>
  <r>
    <n v="66"/>
    <x v="64"/>
    <s v="Marketing"/>
    <x v="4"/>
    <s v="L6"/>
    <s v="Bangalore"/>
    <n v="65000"/>
    <n v="19000"/>
    <n v="84000"/>
    <n v="140000"/>
    <n v="-0.4"/>
    <n v="0.22619047619047619"/>
  </r>
  <r>
    <n v="67"/>
    <x v="65"/>
    <s v="Marketing"/>
    <x v="1"/>
    <s v="L3"/>
    <s v="Delhi"/>
    <n v="85000"/>
    <n v="15000"/>
    <n v="100000"/>
    <n v="120000"/>
    <n v="-0.16666666666666666"/>
    <n v="0.15"/>
  </r>
  <r>
    <n v="68"/>
    <x v="66"/>
    <s v="Sales"/>
    <x v="1"/>
    <s v="L3"/>
    <s v="Hyderabad"/>
    <n v="80000"/>
    <n v="12000"/>
    <n v="92000"/>
    <n v="120000"/>
    <n v="-0.23333333333333334"/>
    <n v="0.13043478260869565"/>
  </r>
  <r>
    <n v="69"/>
    <x v="67"/>
    <s v="Marketing"/>
    <x v="4"/>
    <s v="L6"/>
    <s v="Hyderabad"/>
    <n v="70000"/>
    <n v="18000"/>
    <n v="88000"/>
    <n v="120000"/>
    <n v="-0.26666666666666666"/>
    <n v="0.20454545454545456"/>
  </r>
  <r>
    <n v="70"/>
    <x v="68"/>
    <s v="Sales"/>
    <x v="3"/>
    <s v="L4"/>
    <s v="Vizag"/>
    <n v="65000"/>
    <n v="18000"/>
    <n v="83000"/>
    <n v="120000"/>
    <n v="-0.30833333333333335"/>
    <n v="0.21686746987951808"/>
  </r>
  <r>
    <n v="71"/>
    <x v="69"/>
    <s v="HR"/>
    <x v="3"/>
    <s v="L3"/>
    <s v="Mumbai"/>
    <n v="85000"/>
    <n v="16000"/>
    <n v="101000"/>
    <n v="120000"/>
    <n v="-0.15833333333333333"/>
    <n v="0.15841584158415842"/>
  </r>
  <r>
    <n v="72"/>
    <x v="70"/>
    <s v="Finance"/>
    <x v="1"/>
    <s v="L3"/>
    <s v="Hyderabad"/>
    <n v="55000"/>
    <n v="20000"/>
    <n v="75000"/>
    <n v="200000"/>
    <n v="-0.625"/>
    <n v="0.26666666666666666"/>
  </r>
  <r>
    <n v="73"/>
    <x v="71"/>
    <s v="Marketing"/>
    <x v="2"/>
    <s v="L2"/>
    <s v="Hyderabad"/>
    <n v="70000"/>
    <n v="15000"/>
    <n v="85000"/>
    <n v="150000"/>
    <n v="-0.43333333333333335"/>
    <n v="0.17647058823529413"/>
  </r>
  <r>
    <n v="74"/>
    <x v="72"/>
    <s v="HR"/>
    <x v="1"/>
    <s v="L2"/>
    <s v="Hyderabad"/>
    <n v="95000"/>
    <n v="18000"/>
    <n v="113000"/>
    <n v="150000"/>
    <n v="-0.24666666666666667"/>
    <n v="0.15929203539823009"/>
  </r>
  <r>
    <n v="75"/>
    <x v="73"/>
    <s v="Finance"/>
    <x v="3"/>
    <s v="L5"/>
    <s v="Bangalore"/>
    <n v="80000"/>
    <n v="19000"/>
    <n v="99000"/>
    <n v="140000"/>
    <n v="-0.29285714285714287"/>
    <n v="0.19191919191919191"/>
  </r>
  <r>
    <n v="76"/>
    <x v="74"/>
    <s v="IT"/>
    <x v="4"/>
    <s v="L3"/>
    <s v="Vizag"/>
    <n v="80000"/>
    <n v="17000"/>
    <n v="97000"/>
    <n v="182500"/>
    <n v="-0.46849315068493153"/>
    <n v="0.17525773195876287"/>
  </r>
  <r>
    <n v="77"/>
    <x v="75"/>
    <s v="Finance"/>
    <x v="4"/>
    <s v="L4"/>
    <s v="Vizag"/>
    <n v="80000"/>
    <n v="12000"/>
    <n v="92000"/>
    <n v="100000"/>
    <n v="-0.08"/>
    <n v="0.13043478260869565"/>
  </r>
  <r>
    <n v="78"/>
    <x v="76"/>
    <s v="Sales"/>
    <x v="0"/>
    <s v="L1"/>
    <s v="Mumbai"/>
    <n v="90000"/>
    <n v="12000"/>
    <n v="102000"/>
    <n v="140000"/>
    <n v="-0.27142857142857141"/>
    <n v="0.11764705882352941"/>
  </r>
  <r>
    <n v="79"/>
    <x v="77"/>
    <s v="HR"/>
    <x v="3"/>
    <s v="L2"/>
    <s v="Mumbai"/>
    <n v="80000"/>
    <n v="20000"/>
    <n v="100000"/>
    <n v="220000"/>
    <n v="-0.54545454545454541"/>
    <n v="0.2"/>
  </r>
  <r>
    <n v="80"/>
    <x v="78"/>
    <s v="Sales"/>
    <x v="3"/>
    <s v="L5"/>
    <s v="Bangalore"/>
    <n v="80000"/>
    <n v="17000"/>
    <n v="97000"/>
    <n v="160000"/>
    <n v="-0.39374999999999999"/>
    <n v="0.17525773195876287"/>
  </r>
  <r>
    <n v="81"/>
    <x v="79"/>
    <s v="HR"/>
    <x v="4"/>
    <s v="L5"/>
    <s v="Mumbai"/>
    <n v="85000"/>
    <n v="12000"/>
    <n v="97000"/>
    <n v="750000"/>
    <n v="-0.8706666666666667"/>
    <n v="0.12371134020618557"/>
  </r>
  <r>
    <n v="82"/>
    <x v="80"/>
    <s v="Finance"/>
    <x v="1"/>
    <s v="L2"/>
    <s v="Bangalore"/>
    <n v="80000"/>
    <n v="12000"/>
    <n v="92000"/>
    <n v="140000"/>
    <n v="-0.34285714285714286"/>
    <n v="0.13043478260869565"/>
  </r>
  <r>
    <n v="83"/>
    <x v="81"/>
    <s v="Marketing"/>
    <x v="2"/>
    <s v="L4"/>
    <s v="Delhi"/>
    <n v="55000"/>
    <n v="19000"/>
    <n v="74000"/>
    <n v="120000"/>
    <n v="-0.38333333333333336"/>
    <n v="0.25675675675675674"/>
  </r>
  <r>
    <n v="84"/>
    <x v="82"/>
    <s v="IT"/>
    <x v="2"/>
    <s v="L5"/>
    <s v="Mumbai"/>
    <n v="95000"/>
    <n v="15000"/>
    <n v="110000"/>
    <n v="140000"/>
    <n v="-0.21428571428571427"/>
    <n v="0.13636363636363635"/>
  </r>
  <r>
    <n v="85"/>
    <x v="83"/>
    <s v="HR"/>
    <x v="0"/>
    <s v="L5"/>
    <s v="Hyderabad"/>
    <n v="80000"/>
    <n v="10000"/>
    <n v="90000"/>
    <n v="150000"/>
    <n v="-0.4"/>
    <n v="0.1111111111111111"/>
  </r>
  <r>
    <n v="86"/>
    <x v="84"/>
    <s v="Sales"/>
    <x v="2"/>
    <s v="L6"/>
    <s v="Delhi"/>
    <n v="50000"/>
    <n v="14000"/>
    <n v="64000"/>
    <n v="750000"/>
    <n v="-0.91466666666666663"/>
    <n v="0.21875"/>
  </r>
  <r>
    <n v="87"/>
    <x v="85"/>
    <s v="Marketing"/>
    <x v="2"/>
    <s v="L2"/>
    <s v="Delhi"/>
    <n v="90000"/>
    <n v="14000"/>
    <n v="104000"/>
    <n v="750000"/>
    <n v="-0.86133333333333328"/>
    <n v="0.13461538461538461"/>
  </r>
  <r>
    <n v="88"/>
    <x v="86"/>
    <s v="Finance"/>
    <x v="0"/>
    <s v="L5"/>
    <s v="Hyderabad"/>
    <n v="55000"/>
    <n v="19000"/>
    <n v="74000"/>
    <n v="120000"/>
    <n v="-0.38333333333333336"/>
    <n v="0.25675675675675674"/>
  </r>
  <r>
    <n v="89"/>
    <x v="87"/>
    <s v="Marketing"/>
    <x v="2"/>
    <s v="L1"/>
    <s v="Mumbai"/>
    <n v="65000"/>
    <n v="12000"/>
    <n v="77000"/>
    <n v="182500"/>
    <n v="-0.57808219178082187"/>
    <n v="0.15584415584415584"/>
  </r>
  <r>
    <n v="90"/>
    <x v="88"/>
    <s v="Marketing"/>
    <x v="4"/>
    <s v="L6"/>
    <s v="Vizag"/>
    <n v="70000"/>
    <n v="12000"/>
    <n v="82000"/>
    <n v="750000"/>
    <n v="-0.89066666666666672"/>
    <n v="0.14634146341463414"/>
  </r>
  <r>
    <n v="91"/>
    <x v="89"/>
    <s v="HR"/>
    <x v="0"/>
    <s v="L2"/>
    <s v="Vizag"/>
    <n v="80000"/>
    <n v="12000"/>
    <n v="92000"/>
    <n v="140000"/>
    <n v="-0.34285714285714286"/>
    <n v="0.13043478260869565"/>
  </r>
  <r>
    <n v="92"/>
    <x v="90"/>
    <s v="Marketing"/>
    <x v="4"/>
    <s v="L1"/>
    <s v="Hyderabad"/>
    <n v="75000"/>
    <n v="15000"/>
    <n v="90000"/>
    <n v="182500"/>
    <n v="-0.50684931506849318"/>
    <n v="0.16666666666666666"/>
  </r>
  <r>
    <n v="93"/>
    <x v="91"/>
    <s v="Sales"/>
    <x v="1"/>
    <s v="L5"/>
    <s v="Bangalore"/>
    <n v="90000"/>
    <n v="15000"/>
    <n v="105000"/>
    <n v="150000"/>
    <n v="-0.3"/>
    <n v="0.14285714285714285"/>
  </r>
  <r>
    <n v="94"/>
    <x v="92"/>
    <s v="Finance"/>
    <x v="1"/>
    <s v="L6"/>
    <s v="Delhi"/>
    <n v="90000"/>
    <n v="19000"/>
    <n v="109000"/>
    <n v="220000"/>
    <n v="-0.50454545454545452"/>
    <n v="0.1743119266055046"/>
  </r>
  <r>
    <n v="95"/>
    <x v="93"/>
    <s v="Marketing"/>
    <x v="0"/>
    <s v="L4"/>
    <s v="Delhi"/>
    <n v="80000"/>
    <n v="14000"/>
    <n v="94000"/>
    <n v="750000"/>
    <n v="-0.8746666666666667"/>
    <n v="0.14893617021276595"/>
  </r>
  <r>
    <n v="96"/>
    <x v="94"/>
    <s v="Finance"/>
    <x v="0"/>
    <s v="L6"/>
    <s v="Hyderabad"/>
    <n v="55000"/>
    <n v="12000"/>
    <n v="67000"/>
    <n v="160000"/>
    <n v="-0.58125000000000004"/>
    <n v="0.17910447761194029"/>
  </r>
  <r>
    <n v="97"/>
    <x v="95"/>
    <s v="Sales"/>
    <x v="4"/>
    <s v="L3"/>
    <s v="Bangalore"/>
    <n v="70000"/>
    <n v="20000"/>
    <n v="90000"/>
    <n v="135000"/>
    <n v="-0.33333333333333331"/>
    <n v="0.22222222222222221"/>
  </r>
  <r>
    <n v="98"/>
    <x v="96"/>
    <s v="Marketing"/>
    <x v="0"/>
    <s v="L6"/>
    <s v="Hyderabad"/>
    <n v="55000"/>
    <n v="15000"/>
    <n v="70000"/>
    <n v="220000"/>
    <n v="-0.68181818181818177"/>
    <n v="0.21428571428571427"/>
  </r>
  <r>
    <n v="99"/>
    <x v="97"/>
    <s v="HR"/>
    <x v="2"/>
    <s v="L4"/>
    <s v="Vizag"/>
    <n v="65000"/>
    <n v="20000"/>
    <n v="85000"/>
    <n v="160000"/>
    <n v="-0.46875"/>
    <n v="0.23529411764705882"/>
  </r>
  <r>
    <n v="100"/>
    <x v="98"/>
    <s v="HR"/>
    <x v="4"/>
    <s v="L6"/>
    <s v="Bangalore"/>
    <n v="80000"/>
    <n v="13000"/>
    <n v="93000"/>
    <n v="750000"/>
    <n v="-0.876"/>
    <n v="0.13978494623655913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1"/>
    <x v="0"/>
    <s v="Marketing"/>
    <x v="0"/>
    <s v="L4"/>
    <s v="Vizag"/>
    <n v="65000"/>
    <n v="16000"/>
    <n v="81000"/>
    <n v="200000"/>
    <n v="-0.59499999999999997"/>
    <n v="0.19753086419753085"/>
  </r>
  <r>
    <n v="2"/>
    <x v="1"/>
    <s v="Finance"/>
    <x v="1"/>
    <s v="L1"/>
    <s v="Mumbai"/>
    <n v="95000"/>
    <n v="13000"/>
    <n v="108000"/>
    <n v="200000"/>
    <n v="-0.46"/>
    <n v="0.12037037037037036"/>
  </r>
  <r>
    <n v="3"/>
    <x v="2"/>
    <s v="Marketing"/>
    <x v="2"/>
    <s v="L2"/>
    <s v="Mumbai"/>
    <n v="80000"/>
    <n v="20000"/>
    <n v="100000"/>
    <n v="200000"/>
    <n v="-0.5"/>
    <n v="0.2"/>
  </r>
  <r>
    <n v="4"/>
    <x v="3"/>
    <s v="Marketing"/>
    <x v="0"/>
    <s v="L4"/>
    <s v="Vizag"/>
    <n v="65000"/>
    <n v="12000"/>
    <n v="77000"/>
    <n v="200000"/>
    <n v="-0.61499999999999999"/>
    <n v="0.15584415584415584"/>
  </r>
  <r>
    <n v="5"/>
    <x v="4"/>
    <s v="Marketing"/>
    <x v="0"/>
    <s v="L5"/>
    <s v="Hyderabad"/>
    <n v="100000"/>
    <n v="15000"/>
    <n v="115000"/>
    <n v="135000"/>
    <n v="-0.14814814814814814"/>
    <n v="0.13043478260869565"/>
  </r>
  <r>
    <n v="6"/>
    <x v="5"/>
    <s v="HR"/>
    <x v="0"/>
    <s v="L3"/>
    <s v="Hyderabad"/>
    <n v="55000"/>
    <n v="12000"/>
    <n v="67000"/>
    <n v="150000"/>
    <n v="-0.55333333333333334"/>
    <n v="0.17910447761194029"/>
  </r>
  <r>
    <n v="7"/>
    <x v="6"/>
    <s v="Marketing"/>
    <x v="0"/>
    <s v="L3"/>
    <s v="Hyderabad"/>
    <n v="90000"/>
    <n v="12000"/>
    <n v="102000"/>
    <n v="150000"/>
    <n v="-0.32"/>
    <n v="0.11764705882352941"/>
  </r>
  <r>
    <n v="8"/>
    <x v="7"/>
    <s v="IT"/>
    <x v="3"/>
    <s v="L1"/>
    <s v="Delhi"/>
    <n v="80000"/>
    <n v="10000"/>
    <n v="90000"/>
    <n v="135000"/>
    <n v="-0.33333333333333331"/>
    <n v="0.1111111111111111"/>
  </r>
  <r>
    <n v="9"/>
    <x v="8"/>
    <s v="Marketing"/>
    <x v="3"/>
    <s v="L5"/>
    <s v="Bangalore"/>
    <n v="65000"/>
    <n v="14000"/>
    <n v="79000"/>
    <n v="135000"/>
    <n v="-0.4148148148148148"/>
    <n v="0.17721518987341772"/>
  </r>
  <r>
    <n v="10"/>
    <x v="9"/>
    <s v="IT"/>
    <x v="3"/>
    <s v="L3"/>
    <s v="Mumbai"/>
    <n v="90000"/>
    <n v="11000"/>
    <n v="101000"/>
    <n v="160000"/>
    <n v="-0.36875000000000002"/>
    <n v="0.10891089108910891"/>
  </r>
  <r>
    <n v="11"/>
    <x v="10"/>
    <s v="Marketing"/>
    <x v="0"/>
    <s v="L4"/>
    <s v="Mumbai"/>
    <n v="55000"/>
    <n v="15000"/>
    <n v="70000"/>
    <n v="140000"/>
    <n v="-0.5"/>
    <n v="0.21428571428571427"/>
  </r>
  <r>
    <n v="12"/>
    <x v="11"/>
    <s v="HR"/>
    <x v="3"/>
    <s v="L5"/>
    <s v="Bangalore"/>
    <n v="80000"/>
    <n v="18000"/>
    <n v="98000"/>
    <n v="150000"/>
    <n v="-0.34666666666666668"/>
    <n v="0.18367346938775511"/>
  </r>
  <r>
    <n v="13"/>
    <x v="12"/>
    <s v="Sales"/>
    <x v="4"/>
    <s v="L6"/>
    <s v="Bangalore"/>
    <n v="50000"/>
    <n v="12000"/>
    <n v="62000"/>
    <n v="220000"/>
    <n v="-0.71818181818181814"/>
    <n v="0.19354838709677419"/>
  </r>
  <r>
    <n v="14"/>
    <x v="13"/>
    <s v="Sales"/>
    <x v="2"/>
    <s v="L3"/>
    <s v="Delhi"/>
    <n v="100000"/>
    <n v="18000"/>
    <n v="118000"/>
    <n v="120000"/>
    <n v="-1.6666666666666666E-2"/>
    <n v="0.15254237288135594"/>
  </r>
  <r>
    <n v="15"/>
    <x v="14"/>
    <s v="Finance"/>
    <x v="1"/>
    <s v="L5"/>
    <s v="Mumbai"/>
    <n v="75000"/>
    <n v="15000"/>
    <n v="90000"/>
    <n v="120000"/>
    <n v="-0.25"/>
    <n v="0.16666666666666666"/>
  </r>
  <r>
    <n v="16"/>
    <x v="15"/>
    <s v="IT"/>
    <x v="4"/>
    <s v="L2"/>
    <s v="Vizag"/>
    <n v="65000"/>
    <n v="12000"/>
    <n v="77000"/>
    <n v="160000"/>
    <n v="-0.51875000000000004"/>
    <n v="0.15584415584415584"/>
  </r>
  <r>
    <n v="17"/>
    <x v="16"/>
    <s v="HR"/>
    <x v="3"/>
    <s v="L1"/>
    <s v="Delhi"/>
    <n v="95000"/>
    <n v="12000"/>
    <n v="107000"/>
    <n v="182500"/>
    <n v="-0.41369863013698632"/>
    <n v="0.11214953271028037"/>
  </r>
  <r>
    <n v="18"/>
    <x v="17"/>
    <s v="Marketing"/>
    <x v="4"/>
    <s v="L5"/>
    <s v="Mumbai"/>
    <n v="50000"/>
    <n v="10000"/>
    <n v="60000"/>
    <n v="120000"/>
    <n v="-0.5"/>
    <n v="0.16666666666666666"/>
  </r>
  <r>
    <n v="19"/>
    <x v="18"/>
    <s v="HR"/>
    <x v="3"/>
    <s v="L5"/>
    <s v="Hyderabad"/>
    <n v="65000"/>
    <n v="12000"/>
    <n v="77000"/>
    <n v="182500"/>
    <n v="-0.57808219178082187"/>
    <n v="0.15584415584415584"/>
  </r>
  <r>
    <n v="20"/>
    <x v="19"/>
    <s v="IT"/>
    <x v="3"/>
    <s v="L5"/>
    <s v="Hyderabad"/>
    <n v="80000"/>
    <n v="12000"/>
    <n v="92000"/>
    <n v="100000"/>
    <n v="-0.08"/>
    <n v="0.13043478260869565"/>
  </r>
  <r>
    <n v="21"/>
    <x v="20"/>
    <s v="Sales"/>
    <x v="0"/>
    <s v="L6"/>
    <s v="Vizag"/>
    <n v="75000"/>
    <n v="12000"/>
    <n v="87000"/>
    <n v="120000"/>
    <n v="-0.27500000000000002"/>
    <n v="0.13793103448275862"/>
  </r>
  <r>
    <n v="22"/>
    <x v="21"/>
    <s v="Marketing"/>
    <x v="1"/>
    <s v="L2"/>
    <s v="Bangalore"/>
    <n v="95000"/>
    <n v="13000"/>
    <n v="108000"/>
    <n v="200000"/>
    <n v="-0.46"/>
    <n v="0.12037037037037036"/>
  </r>
  <r>
    <n v="23"/>
    <x v="22"/>
    <s v="IT"/>
    <x v="3"/>
    <s v="L2"/>
    <s v="Mumbai"/>
    <n v="65000"/>
    <n v="14000"/>
    <n v="79000"/>
    <n v="160000"/>
    <n v="-0.50624999999999998"/>
    <n v="0.17721518987341772"/>
  </r>
  <r>
    <n v="24"/>
    <x v="23"/>
    <s v="HR"/>
    <x v="3"/>
    <s v="L1"/>
    <s v="Hyderabad"/>
    <n v="80000"/>
    <n v="15000"/>
    <n v="95000"/>
    <n v="140000"/>
    <n v="-0.32142857142857145"/>
    <n v="0.15789473684210525"/>
  </r>
  <r>
    <n v="25"/>
    <x v="24"/>
    <s v="Marketing"/>
    <x v="3"/>
    <s v="L3"/>
    <s v="Vizag"/>
    <n v="50000"/>
    <n v="15000"/>
    <n v="65000"/>
    <n v="150000"/>
    <n v="-0.56666666666666665"/>
    <n v="0.23076923076923078"/>
  </r>
  <r>
    <n v="26"/>
    <x v="25"/>
    <s v="Finance"/>
    <x v="2"/>
    <s v="L6"/>
    <s v="Mumbai"/>
    <n v="100000"/>
    <n v="18000"/>
    <n v="118000"/>
    <n v="150000"/>
    <n v="-0.21333333333333335"/>
    <n v="0.15254237288135594"/>
  </r>
  <r>
    <n v="27"/>
    <x v="26"/>
    <s v="HR"/>
    <x v="1"/>
    <s v="L6"/>
    <s v="Vizag"/>
    <n v="90000"/>
    <n v="15000"/>
    <n v="105000"/>
    <n v="150000"/>
    <n v="-0.3"/>
    <n v="0.14285714285714285"/>
  </r>
  <r>
    <n v="28"/>
    <x v="27"/>
    <s v="IT"/>
    <x v="1"/>
    <s v="L4"/>
    <s v="Delhi"/>
    <n v="80000"/>
    <n v="12000"/>
    <n v="92000"/>
    <n v="140000"/>
    <n v="-0.34285714285714286"/>
    <n v="0.13043478260869565"/>
  </r>
  <r>
    <n v="29"/>
    <x v="28"/>
    <s v="Marketing"/>
    <x v="4"/>
    <s v="L6"/>
    <s v="Delhi"/>
    <n v="65000"/>
    <n v="16000"/>
    <n v="81000"/>
    <n v="220000"/>
    <n v="-0.63181818181818183"/>
    <n v="0.19753086419753085"/>
  </r>
  <r>
    <n v="30"/>
    <x v="29"/>
    <s v="Marketing"/>
    <x v="2"/>
    <s v="L1"/>
    <s v="Delhi"/>
    <n v="65000"/>
    <n v="12000"/>
    <n v="77000"/>
    <n v="160000"/>
    <n v="-0.51875000000000004"/>
    <n v="0.15584415584415584"/>
  </r>
  <r>
    <n v="31"/>
    <x v="30"/>
    <s v="Marketing"/>
    <x v="2"/>
    <s v="L2"/>
    <s v="Bangalore"/>
    <n v="80000"/>
    <n v="20000"/>
    <n v="100000"/>
    <n v="200000"/>
    <n v="-0.5"/>
    <n v="0.2"/>
  </r>
  <r>
    <n v="32"/>
    <x v="31"/>
    <s v="Marketing"/>
    <x v="0"/>
    <s v="L2"/>
    <s v="Delhi"/>
    <n v="65000"/>
    <n v="15000"/>
    <n v="80000"/>
    <n v="200000"/>
    <n v="-0.6"/>
    <n v="0.1875"/>
  </r>
  <r>
    <n v="33"/>
    <x v="32"/>
    <s v="HR"/>
    <x v="1"/>
    <s v="L2"/>
    <s v="Vizag"/>
    <n v="80000"/>
    <n v="20000"/>
    <n v="100000"/>
    <n v="120000"/>
    <n v="-0.16666666666666666"/>
    <n v="0.2"/>
  </r>
  <r>
    <n v="34"/>
    <x v="33"/>
    <s v="IT"/>
    <x v="3"/>
    <s v="L5"/>
    <s v="Hyderabad"/>
    <n v="65000"/>
    <n v="20000"/>
    <n v="85000"/>
    <n v="100000"/>
    <n v="-0.15"/>
    <n v="0.23529411764705882"/>
  </r>
  <r>
    <n v="35"/>
    <x v="34"/>
    <s v="Sales"/>
    <x v="3"/>
    <s v="L4"/>
    <s v="Bangalore"/>
    <n v="65000"/>
    <n v="17000"/>
    <n v="82000"/>
    <n v="182500"/>
    <n v="-0.55068493150684927"/>
    <n v="0.2073170731707317"/>
  </r>
  <r>
    <n v="36"/>
    <x v="35"/>
    <s v="Marketing"/>
    <x v="0"/>
    <s v="L6"/>
    <s v="Vizag"/>
    <n v="95000"/>
    <n v="12000"/>
    <n v="107000"/>
    <n v="160000"/>
    <n v="-0.33124999999999999"/>
    <n v="0.11214953271028037"/>
  </r>
  <r>
    <n v="37"/>
    <x v="36"/>
    <s v="HR"/>
    <x v="2"/>
    <s v="L3"/>
    <s v="Hyderabad"/>
    <n v="50000"/>
    <n v="15000"/>
    <n v="65000"/>
    <n v="100000"/>
    <n v="-0.35"/>
    <n v="0.23076923076923078"/>
  </r>
  <r>
    <n v="38"/>
    <x v="37"/>
    <s v="Finance"/>
    <x v="4"/>
    <s v="L1"/>
    <s v="Mumbai"/>
    <n v="65000"/>
    <n v="12000"/>
    <n v="77000"/>
    <n v="220000"/>
    <n v="-0.65"/>
    <n v="0.15584415584415584"/>
  </r>
  <r>
    <n v="39"/>
    <x v="38"/>
    <s v="HR"/>
    <x v="0"/>
    <s v="L1"/>
    <s v="Hyderabad"/>
    <n v="65000"/>
    <n v="14000"/>
    <n v="79000"/>
    <n v="220000"/>
    <n v="-0.64090909090909087"/>
    <n v="0.17721518987341772"/>
  </r>
  <r>
    <n v="40"/>
    <x v="39"/>
    <s v="Marketing"/>
    <x v="0"/>
    <s v="L6"/>
    <s v="Bangalore"/>
    <n v="65000"/>
    <n v="12000"/>
    <n v="77000"/>
    <n v="182500"/>
    <n v="-0.57808219178082187"/>
    <n v="0.15584415584415584"/>
  </r>
  <r>
    <n v="41"/>
    <x v="40"/>
    <s v="Sales"/>
    <x v="2"/>
    <s v="L2"/>
    <s v="Mumbai"/>
    <n v="80000"/>
    <n v="16000"/>
    <n v="96000"/>
    <n v="220000"/>
    <n v="-0.5636363636363636"/>
    <n v="0.16666666666666666"/>
  </r>
  <r>
    <n v="42"/>
    <x v="41"/>
    <s v="Marketing"/>
    <x v="4"/>
    <s v="L6"/>
    <s v="Vizag"/>
    <n v="85000"/>
    <n v="15000"/>
    <n v="100000"/>
    <n v="135000"/>
    <n v="-0.25925925925925924"/>
    <n v="0.15"/>
  </r>
  <r>
    <n v="43"/>
    <x v="42"/>
    <s v="Marketing"/>
    <x v="1"/>
    <s v="L2"/>
    <s v="Delhi"/>
    <n v="85000"/>
    <n v="20000"/>
    <n v="105000"/>
    <n v="120000"/>
    <n v="-0.125"/>
    <n v="0.19047619047619047"/>
  </r>
  <r>
    <n v="44"/>
    <x v="43"/>
    <s v="Marketing"/>
    <x v="1"/>
    <s v="L3"/>
    <s v="Mumbai"/>
    <n v="100000"/>
    <n v="11000"/>
    <n v="111000"/>
    <n v="150000"/>
    <n v="-0.26"/>
    <n v="9.90990990990991E-2"/>
  </r>
  <r>
    <n v="45"/>
    <x v="44"/>
    <s v="IT"/>
    <x v="2"/>
    <s v="L6"/>
    <s v="Hyderabad"/>
    <n v="95000"/>
    <n v="12000"/>
    <n v="107000"/>
    <n v="750000"/>
    <n v="-0.85733333333333328"/>
    <n v="0.11214953271028037"/>
  </r>
  <r>
    <n v="46"/>
    <x v="45"/>
    <s v="IT"/>
    <x v="1"/>
    <s v="L4"/>
    <s v="Delhi"/>
    <n v="90000"/>
    <n v="12000"/>
    <n v="102000"/>
    <n v="100000"/>
    <n v="0.02"/>
    <n v="0.11764705882352941"/>
  </r>
  <r>
    <n v="47"/>
    <x v="46"/>
    <s v="IT"/>
    <x v="1"/>
    <s v="L6"/>
    <s v="Mumbai"/>
    <n v="75000"/>
    <n v="12000"/>
    <n v="87000"/>
    <n v="100000"/>
    <n v="-0.13"/>
    <n v="0.13793103448275862"/>
  </r>
  <r>
    <n v="48"/>
    <x v="47"/>
    <s v="Sales"/>
    <x v="2"/>
    <s v="L5"/>
    <s v="Bangalore"/>
    <n v="80000"/>
    <n v="13000"/>
    <n v="93000"/>
    <n v="140000"/>
    <n v="-0.33571428571428569"/>
    <n v="0.13978494623655913"/>
  </r>
  <r>
    <n v="49"/>
    <x v="48"/>
    <s v="HR"/>
    <x v="3"/>
    <s v="L5"/>
    <s v="Hyderabad"/>
    <n v="75000"/>
    <n v="20000"/>
    <n v="95000"/>
    <n v="750000"/>
    <n v="-0.87333333333333329"/>
    <n v="0.21052631578947367"/>
  </r>
  <r>
    <n v="50"/>
    <x v="49"/>
    <s v="IT"/>
    <x v="0"/>
    <s v="L5"/>
    <s v="Hyderabad"/>
    <n v="95000"/>
    <n v="14000"/>
    <n v="109000"/>
    <n v="140000"/>
    <n v="-0.22142857142857142"/>
    <n v="0.12844036697247707"/>
  </r>
  <r>
    <n v="51"/>
    <x v="50"/>
    <s v="Sales"/>
    <x v="2"/>
    <s v="L1"/>
    <s v="Vizag"/>
    <n v="65000"/>
    <n v="20000"/>
    <n v="85000"/>
    <n v="182500"/>
    <n v="-0.53424657534246578"/>
    <n v="0.23529411764705882"/>
  </r>
  <r>
    <n v="52"/>
    <x v="51"/>
    <s v="HR"/>
    <x v="2"/>
    <s v="L3"/>
    <s v="Delhi"/>
    <n v="80000"/>
    <n v="19000"/>
    <n v="99000"/>
    <n v="120000"/>
    <n v="-0.17499999999999999"/>
    <n v="0.19191919191919191"/>
  </r>
  <r>
    <n v="53"/>
    <x v="52"/>
    <s v="Marketing"/>
    <x v="1"/>
    <s v="L3"/>
    <s v="Vizag"/>
    <n v="75000"/>
    <n v="13000"/>
    <n v="88000"/>
    <n v="150000"/>
    <n v="-0.41333333333333333"/>
    <n v="0.14772727272727273"/>
  </r>
  <r>
    <n v="54"/>
    <x v="53"/>
    <s v="IT"/>
    <x v="4"/>
    <s v="L6"/>
    <s v="Delhi"/>
    <n v="65000"/>
    <n v="15000"/>
    <n v="80000"/>
    <n v="100000"/>
    <n v="-0.2"/>
    <n v="0.1875"/>
  </r>
  <r>
    <n v="55"/>
    <x v="54"/>
    <s v="IT"/>
    <x v="1"/>
    <s v="L2"/>
    <s v="Mumbai"/>
    <n v="80000"/>
    <n v="12000"/>
    <n v="92000"/>
    <n v="135000"/>
    <n v="-0.31851851851851853"/>
    <n v="0.13043478260869565"/>
  </r>
  <r>
    <n v="56"/>
    <x v="55"/>
    <s v="IT"/>
    <x v="0"/>
    <s v="L2"/>
    <s v="Hyderabad"/>
    <n v="90000"/>
    <n v="18000"/>
    <n v="108000"/>
    <n v="100000"/>
    <n v="0.08"/>
    <n v="0.16666666666666666"/>
  </r>
  <r>
    <n v="57"/>
    <x v="56"/>
    <s v="Finance"/>
    <x v="2"/>
    <s v="L2"/>
    <s v="Hyderabad"/>
    <n v="95000"/>
    <n v="16000"/>
    <n v="111000"/>
    <n v="182500"/>
    <n v="-0.39178082191780822"/>
    <n v="0.14414414414414414"/>
  </r>
  <r>
    <n v="58"/>
    <x v="57"/>
    <s v="Sales"/>
    <x v="3"/>
    <s v="L4"/>
    <s v="Bangalore"/>
    <n v="85000"/>
    <n v="15000"/>
    <n v="100000"/>
    <n v="160000"/>
    <n v="-0.375"/>
    <n v="0.15"/>
  </r>
  <r>
    <n v="59"/>
    <x v="58"/>
    <s v="IT"/>
    <x v="4"/>
    <s v="L1"/>
    <s v="Bangalore"/>
    <n v="65000"/>
    <n v="19000"/>
    <n v="84000"/>
    <n v="135000"/>
    <n v="-0.37777777777777777"/>
    <n v="0.22619047619047619"/>
  </r>
  <r>
    <n v="60"/>
    <x v="59"/>
    <s v="HR"/>
    <x v="1"/>
    <s v="L6"/>
    <s v="Mumbai"/>
    <n v="80000"/>
    <n v="20000"/>
    <n v="100000"/>
    <n v="220000"/>
    <n v="-0.54545454545454541"/>
    <n v="0.2"/>
  </r>
  <r>
    <n v="61"/>
    <x v="60"/>
    <s v="Marketing"/>
    <x v="1"/>
    <s v="L4"/>
    <s v="Hyderabad"/>
    <n v="55000"/>
    <n v="12000"/>
    <n v="67000"/>
    <n v="150000"/>
    <n v="-0.55333333333333334"/>
    <n v="0.17910447761194029"/>
  </r>
  <r>
    <n v="62"/>
    <x v="61"/>
    <s v="HR"/>
    <x v="4"/>
    <s v="L4"/>
    <s v="Mumbai"/>
    <n v="80000"/>
    <n v="12000"/>
    <n v="92000"/>
    <n v="135000"/>
    <n v="-0.31851851851851853"/>
    <n v="0.13043478260869565"/>
  </r>
  <r>
    <n v="63"/>
    <x v="62"/>
    <s v="HR"/>
    <x v="2"/>
    <s v="L2"/>
    <s v="Vizag"/>
    <n v="50000"/>
    <n v="15000"/>
    <n v="65000"/>
    <n v="160000"/>
    <n v="-0.59375"/>
    <n v="0.23076923076923078"/>
  </r>
  <r>
    <n v="64"/>
    <x v="63"/>
    <s v="Finance"/>
    <x v="4"/>
    <s v="L6"/>
    <s v="Delhi"/>
    <n v="80000"/>
    <n v="13000"/>
    <n v="93000"/>
    <n v="100000"/>
    <n v="-7.0000000000000007E-2"/>
    <n v="0.13978494623655913"/>
  </r>
  <r>
    <n v="65"/>
    <x v="64"/>
    <s v="Marketing"/>
    <x v="4"/>
    <s v="L5"/>
    <s v="Hyderabad"/>
    <n v="65000"/>
    <n v="12000"/>
    <n v="77000"/>
    <n v="160000"/>
    <n v="-0.51875000000000004"/>
    <n v="0.15584415584415584"/>
  </r>
  <r>
    <n v="66"/>
    <x v="64"/>
    <s v="Marketing"/>
    <x v="4"/>
    <s v="L6"/>
    <s v="Bangalore"/>
    <n v="65000"/>
    <n v="19000"/>
    <n v="84000"/>
    <n v="140000"/>
    <n v="-0.4"/>
    <n v="0.22619047619047619"/>
  </r>
  <r>
    <n v="67"/>
    <x v="65"/>
    <s v="Marketing"/>
    <x v="1"/>
    <s v="L3"/>
    <s v="Delhi"/>
    <n v="85000"/>
    <n v="15000"/>
    <n v="100000"/>
    <n v="120000"/>
    <n v="-0.16666666666666666"/>
    <n v="0.15"/>
  </r>
  <r>
    <n v="68"/>
    <x v="66"/>
    <s v="Sales"/>
    <x v="1"/>
    <s v="L3"/>
    <s v="Hyderabad"/>
    <n v="80000"/>
    <n v="12000"/>
    <n v="92000"/>
    <n v="120000"/>
    <n v="-0.23333333333333334"/>
    <n v="0.13043478260869565"/>
  </r>
  <r>
    <n v="69"/>
    <x v="67"/>
    <s v="Marketing"/>
    <x v="4"/>
    <s v="L6"/>
    <s v="Hyderabad"/>
    <n v="70000"/>
    <n v="18000"/>
    <n v="88000"/>
    <n v="120000"/>
    <n v="-0.26666666666666666"/>
    <n v="0.20454545454545456"/>
  </r>
  <r>
    <n v="70"/>
    <x v="68"/>
    <s v="Sales"/>
    <x v="3"/>
    <s v="L4"/>
    <s v="Vizag"/>
    <n v="65000"/>
    <n v="18000"/>
    <n v="83000"/>
    <n v="120000"/>
    <n v="-0.30833333333333335"/>
    <n v="0.21686746987951808"/>
  </r>
  <r>
    <n v="71"/>
    <x v="69"/>
    <s v="HR"/>
    <x v="3"/>
    <s v="L3"/>
    <s v="Mumbai"/>
    <n v="85000"/>
    <n v="16000"/>
    <n v="101000"/>
    <n v="120000"/>
    <n v="-0.15833333333333333"/>
    <n v="0.15841584158415842"/>
  </r>
  <r>
    <n v="72"/>
    <x v="70"/>
    <s v="Finance"/>
    <x v="1"/>
    <s v="L3"/>
    <s v="Hyderabad"/>
    <n v="55000"/>
    <n v="20000"/>
    <n v="75000"/>
    <n v="200000"/>
    <n v="-0.625"/>
    <n v="0.26666666666666666"/>
  </r>
  <r>
    <n v="73"/>
    <x v="71"/>
    <s v="Marketing"/>
    <x v="2"/>
    <s v="L2"/>
    <s v="Hyderabad"/>
    <n v="70000"/>
    <n v="15000"/>
    <n v="85000"/>
    <n v="150000"/>
    <n v="-0.43333333333333335"/>
    <n v="0.17647058823529413"/>
  </r>
  <r>
    <n v="74"/>
    <x v="72"/>
    <s v="HR"/>
    <x v="1"/>
    <s v="L2"/>
    <s v="Hyderabad"/>
    <n v="95000"/>
    <n v="18000"/>
    <n v="113000"/>
    <n v="150000"/>
    <n v="-0.24666666666666667"/>
    <n v="0.15929203539823009"/>
  </r>
  <r>
    <n v="75"/>
    <x v="73"/>
    <s v="Finance"/>
    <x v="3"/>
    <s v="L5"/>
    <s v="Bangalore"/>
    <n v="80000"/>
    <n v="19000"/>
    <n v="99000"/>
    <n v="140000"/>
    <n v="-0.29285714285714287"/>
    <n v="0.19191919191919191"/>
  </r>
  <r>
    <n v="76"/>
    <x v="74"/>
    <s v="IT"/>
    <x v="4"/>
    <s v="L3"/>
    <s v="Vizag"/>
    <n v="80000"/>
    <n v="17000"/>
    <n v="97000"/>
    <n v="182500"/>
    <n v="-0.46849315068493153"/>
    <n v="0.17525773195876287"/>
  </r>
  <r>
    <n v="77"/>
    <x v="75"/>
    <s v="Finance"/>
    <x v="4"/>
    <s v="L4"/>
    <s v="Vizag"/>
    <n v="80000"/>
    <n v="12000"/>
    <n v="92000"/>
    <n v="100000"/>
    <n v="-0.08"/>
    <n v="0.13043478260869565"/>
  </r>
  <r>
    <n v="78"/>
    <x v="76"/>
    <s v="Sales"/>
    <x v="0"/>
    <s v="L1"/>
    <s v="Mumbai"/>
    <n v="90000"/>
    <n v="12000"/>
    <n v="102000"/>
    <n v="140000"/>
    <n v="-0.27142857142857141"/>
    <n v="0.11764705882352941"/>
  </r>
  <r>
    <n v="79"/>
    <x v="77"/>
    <s v="HR"/>
    <x v="3"/>
    <s v="L2"/>
    <s v="Mumbai"/>
    <n v="80000"/>
    <n v="20000"/>
    <n v="100000"/>
    <n v="220000"/>
    <n v="-0.54545454545454541"/>
    <n v="0.2"/>
  </r>
  <r>
    <n v="80"/>
    <x v="78"/>
    <s v="Sales"/>
    <x v="3"/>
    <s v="L5"/>
    <s v="Bangalore"/>
    <n v="80000"/>
    <n v="17000"/>
    <n v="97000"/>
    <n v="160000"/>
    <n v="-0.39374999999999999"/>
    <n v="0.17525773195876287"/>
  </r>
  <r>
    <n v="81"/>
    <x v="79"/>
    <s v="HR"/>
    <x v="4"/>
    <s v="L5"/>
    <s v="Mumbai"/>
    <n v="85000"/>
    <n v="12000"/>
    <n v="97000"/>
    <n v="750000"/>
    <n v="-0.8706666666666667"/>
    <n v="0.12371134020618557"/>
  </r>
  <r>
    <n v="82"/>
    <x v="80"/>
    <s v="Finance"/>
    <x v="1"/>
    <s v="L2"/>
    <s v="Bangalore"/>
    <n v="80000"/>
    <n v="12000"/>
    <n v="92000"/>
    <n v="140000"/>
    <n v="-0.34285714285714286"/>
    <n v="0.13043478260869565"/>
  </r>
  <r>
    <n v="83"/>
    <x v="81"/>
    <s v="Marketing"/>
    <x v="2"/>
    <s v="L4"/>
    <s v="Delhi"/>
    <n v="55000"/>
    <n v="19000"/>
    <n v="74000"/>
    <n v="120000"/>
    <n v="-0.38333333333333336"/>
    <n v="0.25675675675675674"/>
  </r>
  <r>
    <n v="84"/>
    <x v="82"/>
    <s v="IT"/>
    <x v="2"/>
    <s v="L5"/>
    <s v="Mumbai"/>
    <n v="95000"/>
    <n v="15000"/>
    <n v="110000"/>
    <n v="140000"/>
    <n v="-0.21428571428571427"/>
    <n v="0.13636363636363635"/>
  </r>
  <r>
    <n v="85"/>
    <x v="83"/>
    <s v="HR"/>
    <x v="0"/>
    <s v="L5"/>
    <s v="Hyderabad"/>
    <n v="80000"/>
    <n v="10000"/>
    <n v="90000"/>
    <n v="150000"/>
    <n v="-0.4"/>
    <n v="0.1111111111111111"/>
  </r>
  <r>
    <n v="86"/>
    <x v="84"/>
    <s v="Sales"/>
    <x v="2"/>
    <s v="L6"/>
    <s v="Delhi"/>
    <n v="50000"/>
    <n v="14000"/>
    <n v="64000"/>
    <n v="750000"/>
    <n v="-0.91466666666666663"/>
    <n v="0.21875"/>
  </r>
  <r>
    <n v="87"/>
    <x v="85"/>
    <s v="Marketing"/>
    <x v="2"/>
    <s v="L2"/>
    <s v="Delhi"/>
    <n v="90000"/>
    <n v="14000"/>
    <n v="104000"/>
    <n v="750000"/>
    <n v="-0.86133333333333328"/>
    <n v="0.13461538461538461"/>
  </r>
  <r>
    <n v="88"/>
    <x v="86"/>
    <s v="Finance"/>
    <x v="0"/>
    <s v="L5"/>
    <s v="Hyderabad"/>
    <n v="55000"/>
    <n v="19000"/>
    <n v="74000"/>
    <n v="120000"/>
    <n v="-0.38333333333333336"/>
    <n v="0.25675675675675674"/>
  </r>
  <r>
    <n v="89"/>
    <x v="87"/>
    <s v="Marketing"/>
    <x v="2"/>
    <s v="L1"/>
    <s v="Mumbai"/>
    <n v="65000"/>
    <n v="12000"/>
    <n v="77000"/>
    <n v="182500"/>
    <n v="-0.57808219178082187"/>
    <n v="0.15584415584415584"/>
  </r>
  <r>
    <n v="90"/>
    <x v="88"/>
    <s v="Marketing"/>
    <x v="4"/>
    <s v="L6"/>
    <s v="Vizag"/>
    <n v="70000"/>
    <n v="12000"/>
    <n v="82000"/>
    <n v="750000"/>
    <n v="-0.89066666666666672"/>
    <n v="0.14634146341463414"/>
  </r>
  <r>
    <n v="91"/>
    <x v="89"/>
    <s v="HR"/>
    <x v="0"/>
    <s v="L2"/>
    <s v="Vizag"/>
    <n v="80000"/>
    <n v="12000"/>
    <n v="92000"/>
    <n v="140000"/>
    <n v="-0.34285714285714286"/>
    <n v="0.13043478260869565"/>
  </r>
  <r>
    <n v="92"/>
    <x v="90"/>
    <s v="Marketing"/>
    <x v="4"/>
    <s v="L1"/>
    <s v="Hyderabad"/>
    <n v="75000"/>
    <n v="15000"/>
    <n v="90000"/>
    <n v="182500"/>
    <n v="-0.50684931506849318"/>
    <n v="0.16666666666666666"/>
  </r>
  <r>
    <n v="93"/>
    <x v="91"/>
    <s v="Sales"/>
    <x v="1"/>
    <s v="L5"/>
    <s v="Bangalore"/>
    <n v="90000"/>
    <n v="15000"/>
    <n v="105000"/>
    <n v="150000"/>
    <n v="-0.3"/>
    <n v="0.14285714285714285"/>
  </r>
  <r>
    <n v="94"/>
    <x v="92"/>
    <s v="Finance"/>
    <x v="1"/>
    <s v="L6"/>
    <s v="Delhi"/>
    <n v="90000"/>
    <n v="19000"/>
    <n v="109000"/>
    <n v="220000"/>
    <n v="-0.50454545454545452"/>
    <n v="0.1743119266055046"/>
  </r>
  <r>
    <n v="95"/>
    <x v="93"/>
    <s v="Marketing"/>
    <x v="0"/>
    <s v="L4"/>
    <s v="Delhi"/>
    <n v="80000"/>
    <n v="14000"/>
    <n v="94000"/>
    <n v="750000"/>
    <n v="-0.8746666666666667"/>
    <n v="0.14893617021276595"/>
  </r>
  <r>
    <n v="96"/>
    <x v="94"/>
    <s v="Finance"/>
    <x v="0"/>
    <s v="L6"/>
    <s v="Hyderabad"/>
    <n v="55000"/>
    <n v="12000"/>
    <n v="67000"/>
    <n v="160000"/>
    <n v="-0.58125000000000004"/>
    <n v="0.17910447761194029"/>
  </r>
  <r>
    <n v="97"/>
    <x v="95"/>
    <s v="Sales"/>
    <x v="4"/>
    <s v="L3"/>
    <s v="Bangalore"/>
    <n v="70000"/>
    <n v="20000"/>
    <n v="90000"/>
    <n v="135000"/>
    <n v="-0.33333333333333331"/>
    <n v="0.22222222222222221"/>
  </r>
  <r>
    <n v="98"/>
    <x v="96"/>
    <s v="Marketing"/>
    <x v="0"/>
    <s v="L6"/>
    <s v="Hyderabad"/>
    <n v="55000"/>
    <n v="15000"/>
    <n v="70000"/>
    <n v="220000"/>
    <n v="-0.68181818181818177"/>
    <n v="0.21428571428571427"/>
  </r>
  <r>
    <n v="99"/>
    <x v="97"/>
    <s v="HR"/>
    <x v="2"/>
    <s v="L4"/>
    <s v="Vizag"/>
    <n v="65000"/>
    <n v="20000"/>
    <n v="85000"/>
    <n v="160000"/>
    <n v="-0.46875"/>
    <n v="0.23529411764705882"/>
  </r>
  <r>
    <n v="100"/>
    <x v="98"/>
    <s v="HR"/>
    <x v="4"/>
    <s v="L6"/>
    <s v="Bangalore"/>
    <n v="80000"/>
    <n v="13000"/>
    <n v="93000"/>
    <n v="750000"/>
    <n v="-0.876"/>
    <n v="0.13978494623655913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1"/>
    <x v="0"/>
    <x v="0"/>
    <s v="Director"/>
    <s v="L4"/>
    <s v="Vizag"/>
    <n v="65000"/>
    <n v="16000"/>
    <n v="81000"/>
    <n v="200000"/>
    <n v="-0.59499999999999997"/>
    <n v="0.19753086419753085"/>
  </r>
  <r>
    <n v="2"/>
    <x v="1"/>
    <x v="1"/>
    <s v="Manager"/>
    <s v="L1"/>
    <s v="Mumbai"/>
    <n v="95000"/>
    <n v="13000"/>
    <n v="108000"/>
    <n v="200000"/>
    <n v="-0.46"/>
    <n v="0.12037037037037036"/>
  </r>
  <r>
    <n v="3"/>
    <x v="2"/>
    <x v="0"/>
    <s v="Analyst"/>
    <s v="L2"/>
    <s v="Mumbai"/>
    <n v="80000"/>
    <n v="20000"/>
    <n v="100000"/>
    <n v="200000"/>
    <n v="-0.5"/>
    <n v="0.2"/>
  </r>
  <r>
    <n v="4"/>
    <x v="3"/>
    <x v="0"/>
    <s v="Director"/>
    <s v="L4"/>
    <s v="Vizag"/>
    <n v="65000"/>
    <n v="12000"/>
    <n v="77000"/>
    <n v="200000"/>
    <n v="-0.61499999999999999"/>
    <n v="0.15584415584415584"/>
  </r>
  <r>
    <n v="5"/>
    <x v="4"/>
    <x v="0"/>
    <s v="Director"/>
    <s v="L5"/>
    <s v="Hyderabad"/>
    <n v="100000"/>
    <n v="15000"/>
    <n v="115000"/>
    <n v="135000"/>
    <n v="-0.14814814814814814"/>
    <n v="0.13043478260869565"/>
  </r>
  <r>
    <n v="6"/>
    <x v="5"/>
    <x v="2"/>
    <s v="Director"/>
    <s v="L3"/>
    <s v="Hyderabad"/>
    <n v="55000"/>
    <n v="12000"/>
    <n v="67000"/>
    <n v="150000"/>
    <n v="-0.55333333333333334"/>
    <n v="0.17910447761194029"/>
  </r>
  <r>
    <n v="7"/>
    <x v="6"/>
    <x v="0"/>
    <s v="Director"/>
    <s v="L3"/>
    <s v="Hyderabad"/>
    <n v="90000"/>
    <n v="12000"/>
    <n v="102000"/>
    <n v="150000"/>
    <n v="-0.32"/>
    <n v="0.11764705882352941"/>
  </r>
  <r>
    <n v="8"/>
    <x v="7"/>
    <x v="3"/>
    <s v="Executive"/>
    <s v="L1"/>
    <s v="Delhi"/>
    <n v="80000"/>
    <n v="10000"/>
    <n v="90000"/>
    <n v="135000"/>
    <n v="-0.33333333333333331"/>
    <n v="0.1111111111111111"/>
  </r>
  <r>
    <n v="9"/>
    <x v="8"/>
    <x v="0"/>
    <s v="Executive"/>
    <s v="L5"/>
    <s v="Bangalore"/>
    <n v="65000"/>
    <n v="14000"/>
    <n v="79000"/>
    <n v="135000"/>
    <n v="-0.4148148148148148"/>
    <n v="0.17721518987341772"/>
  </r>
  <r>
    <n v="10"/>
    <x v="9"/>
    <x v="3"/>
    <s v="Executive"/>
    <s v="L3"/>
    <s v="Mumbai"/>
    <n v="90000"/>
    <n v="11000"/>
    <n v="101000"/>
    <n v="160000"/>
    <n v="-0.36875000000000002"/>
    <n v="0.10891089108910891"/>
  </r>
  <r>
    <n v="11"/>
    <x v="10"/>
    <x v="0"/>
    <s v="Director"/>
    <s v="L4"/>
    <s v="Mumbai"/>
    <n v="55000"/>
    <n v="15000"/>
    <n v="70000"/>
    <n v="140000"/>
    <n v="-0.5"/>
    <n v="0.21428571428571427"/>
  </r>
  <r>
    <n v="12"/>
    <x v="11"/>
    <x v="2"/>
    <s v="Executive"/>
    <s v="L5"/>
    <s v="Bangalore"/>
    <n v="80000"/>
    <n v="18000"/>
    <n v="98000"/>
    <n v="150000"/>
    <n v="-0.34666666666666668"/>
    <n v="0.18367346938775511"/>
  </r>
  <r>
    <n v="13"/>
    <x v="12"/>
    <x v="4"/>
    <s v="Intern"/>
    <s v="L6"/>
    <s v="Bangalore"/>
    <n v="50000"/>
    <n v="12000"/>
    <n v="62000"/>
    <n v="220000"/>
    <n v="-0.71818181818181814"/>
    <n v="0.19354838709677419"/>
  </r>
  <r>
    <n v="14"/>
    <x v="13"/>
    <x v="4"/>
    <s v="Analyst"/>
    <s v="L3"/>
    <s v="Delhi"/>
    <n v="100000"/>
    <n v="18000"/>
    <n v="118000"/>
    <n v="120000"/>
    <n v="-1.6666666666666666E-2"/>
    <n v="0.15254237288135594"/>
  </r>
  <r>
    <n v="15"/>
    <x v="14"/>
    <x v="1"/>
    <s v="Manager"/>
    <s v="L5"/>
    <s v="Mumbai"/>
    <n v="75000"/>
    <n v="15000"/>
    <n v="90000"/>
    <n v="120000"/>
    <n v="-0.25"/>
    <n v="0.16666666666666666"/>
  </r>
  <r>
    <n v="16"/>
    <x v="15"/>
    <x v="3"/>
    <s v="Intern"/>
    <s v="L2"/>
    <s v="Vizag"/>
    <n v="65000"/>
    <n v="12000"/>
    <n v="77000"/>
    <n v="160000"/>
    <n v="-0.51875000000000004"/>
    <n v="0.15584415584415584"/>
  </r>
  <r>
    <n v="17"/>
    <x v="16"/>
    <x v="2"/>
    <s v="Executive"/>
    <s v="L1"/>
    <s v="Delhi"/>
    <n v="95000"/>
    <n v="12000"/>
    <n v="107000"/>
    <n v="182500"/>
    <n v="-0.41369863013698632"/>
    <n v="0.11214953271028037"/>
  </r>
  <r>
    <n v="18"/>
    <x v="17"/>
    <x v="0"/>
    <s v="Intern"/>
    <s v="L5"/>
    <s v="Mumbai"/>
    <n v="50000"/>
    <n v="10000"/>
    <n v="60000"/>
    <n v="120000"/>
    <n v="-0.5"/>
    <n v="0.16666666666666666"/>
  </r>
  <r>
    <n v="19"/>
    <x v="18"/>
    <x v="2"/>
    <s v="Executive"/>
    <s v="L5"/>
    <s v="Hyderabad"/>
    <n v="65000"/>
    <n v="12000"/>
    <n v="77000"/>
    <n v="182500"/>
    <n v="-0.57808219178082187"/>
    <n v="0.15584415584415584"/>
  </r>
  <r>
    <n v="20"/>
    <x v="19"/>
    <x v="3"/>
    <s v="Executive"/>
    <s v="L5"/>
    <s v="Hyderabad"/>
    <n v="80000"/>
    <n v="12000"/>
    <n v="92000"/>
    <n v="100000"/>
    <n v="-0.08"/>
    <n v="0.13043478260869565"/>
  </r>
  <r>
    <n v="21"/>
    <x v="20"/>
    <x v="4"/>
    <s v="Director"/>
    <s v="L6"/>
    <s v="Vizag"/>
    <n v="75000"/>
    <n v="12000"/>
    <n v="87000"/>
    <n v="120000"/>
    <n v="-0.27500000000000002"/>
    <n v="0.13793103448275862"/>
  </r>
  <r>
    <n v="22"/>
    <x v="21"/>
    <x v="0"/>
    <s v="Manager"/>
    <s v="L2"/>
    <s v="Bangalore"/>
    <n v="95000"/>
    <n v="13000"/>
    <n v="108000"/>
    <n v="200000"/>
    <n v="-0.46"/>
    <n v="0.12037037037037036"/>
  </r>
  <r>
    <n v="23"/>
    <x v="22"/>
    <x v="3"/>
    <s v="Executive"/>
    <s v="L2"/>
    <s v="Mumbai"/>
    <n v="65000"/>
    <n v="14000"/>
    <n v="79000"/>
    <n v="160000"/>
    <n v="-0.50624999999999998"/>
    <n v="0.17721518987341772"/>
  </r>
  <r>
    <n v="24"/>
    <x v="23"/>
    <x v="2"/>
    <s v="Executive"/>
    <s v="L1"/>
    <s v="Hyderabad"/>
    <n v="80000"/>
    <n v="15000"/>
    <n v="95000"/>
    <n v="140000"/>
    <n v="-0.32142857142857145"/>
    <n v="0.15789473684210525"/>
  </r>
  <r>
    <n v="25"/>
    <x v="24"/>
    <x v="0"/>
    <s v="Executive"/>
    <s v="L3"/>
    <s v="Vizag"/>
    <n v="50000"/>
    <n v="15000"/>
    <n v="65000"/>
    <n v="150000"/>
    <n v="-0.56666666666666665"/>
    <n v="0.23076923076923078"/>
  </r>
  <r>
    <n v="26"/>
    <x v="25"/>
    <x v="1"/>
    <s v="Analyst"/>
    <s v="L6"/>
    <s v="Mumbai"/>
    <n v="100000"/>
    <n v="18000"/>
    <n v="118000"/>
    <n v="150000"/>
    <n v="-0.21333333333333335"/>
    <n v="0.15254237288135594"/>
  </r>
  <r>
    <n v="27"/>
    <x v="26"/>
    <x v="2"/>
    <s v="Manager"/>
    <s v="L6"/>
    <s v="Vizag"/>
    <n v="90000"/>
    <n v="15000"/>
    <n v="105000"/>
    <n v="150000"/>
    <n v="-0.3"/>
    <n v="0.14285714285714285"/>
  </r>
  <r>
    <n v="28"/>
    <x v="27"/>
    <x v="3"/>
    <s v="Manager"/>
    <s v="L4"/>
    <s v="Delhi"/>
    <n v="80000"/>
    <n v="12000"/>
    <n v="92000"/>
    <n v="140000"/>
    <n v="-0.34285714285714286"/>
    <n v="0.13043478260869565"/>
  </r>
  <r>
    <n v="29"/>
    <x v="28"/>
    <x v="0"/>
    <s v="Intern"/>
    <s v="L6"/>
    <s v="Delhi"/>
    <n v="65000"/>
    <n v="16000"/>
    <n v="81000"/>
    <n v="220000"/>
    <n v="-0.63181818181818183"/>
    <n v="0.19753086419753085"/>
  </r>
  <r>
    <n v="30"/>
    <x v="29"/>
    <x v="0"/>
    <s v="Analyst"/>
    <s v="L1"/>
    <s v="Delhi"/>
    <n v="65000"/>
    <n v="12000"/>
    <n v="77000"/>
    <n v="160000"/>
    <n v="-0.51875000000000004"/>
    <n v="0.15584415584415584"/>
  </r>
  <r>
    <n v="31"/>
    <x v="30"/>
    <x v="0"/>
    <s v="Analyst"/>
    <s v="L2"/>
    <s v="Bangalore"/>
    <n v="80000"/>
    <n v="20000"/>
    <n v="100000"/>
    <n v="200000"/>
    <n v="-0.5"/>
    <n v="0.2"/>
  </r>
  <r>
    <n v="32"/>
    <x v="31"/>
    <x v="0"/>
    <s v="Director"/>
    <s v="L2"/>
    <s v="Delhi"/>
    <n v="65000"/>
    <n v="15000"/>
    <n v="80000"/>
    <n v="200000"/>
    <n v="-0.6"/>
    <n v="0.1875"/>
  </r>
  <r>
    <n v="33"/>
    <x v="32"/>
    <x v="2"/>
    <s v="Manager"/>
    <s v="L2"/>
    <s v="Vizag"/>
    <n v="80000"/>
    <n v="20000"/>
    <n v="100000"/>
    <n v="120000"/>
    <n v="-0.16666666666666666"/>
    <n v="0.2"/>
  </r>
  <r>
    <n v="34"/>
    <x v="33"/>
    <x v="3"/>
    <s v="Executive"/>
    <s v="L5"/>
    <s v="Hyderabad"/>
    <n v="65000"/>
    <n v="20000"/>
    <n v="85000"/>
    <n v="100000"/>
    <n v="-0.15"/>
    <n v="0.23529411764705882"/>
  </r>
  <r>
    <n v="35"/>
    <x v="34"/>
    <x v="4"/>
    <s v="Executive"/>
    <s v="L4"/>
    <s v="Bangalore"/>
    <n v="65000"/>
    <n v="17000"/>
    <n v="82000"/>
    <n v="182500"/>
    <n v="-0.55068493150684927"/>
    <n v="0.2073170731707317"/>
  </r>
  <r>
    <n v="36"/>
    <x v="35"/>
    <x v="0"/>
    <s v="Director"/>
    <s v="L6"/>
    <s v="Vizag"/>
    <n v="95000"/>
    <n v="12000"/>
    <n v="107000"/>
    <n v="160000"/>
    <n v="-0.33124999999999999"/>
    <n v="0.11214953271028037"/>
  </r>
  <r>
    <n v="37"/>
    <x v="36"/>
    <x v="2"/>
    <s v="Analyst"/>
    <s v="L3"/>
    <s v="Hyderabad"/>
    <n v="50000"/>
    <n v="15000"/>
    <n v="65000"/>
    <n v="100000"/>
    <n v="-0.35"/>
    <n v="0.23076923076923078"/>
  </r>
  <r>
    <n v="38"/>
    <x v="37"/>
    <x v="1"/>
    <s v="Intern"/>
    <s v="L1"/>
    <s v="Mumbai"/>
    <n v="65000"/>
    <n v="12000"/>
    <n v="77000"/>
    <n v="220000"/>
    <n v="-0.65"/>
    <n v="0.15584415584415584"/>
  </r>
  <r>
    <n v="39"/>
    <x v="38"/>
    <x v="2"/>
    <s v="Director"/>
    <s v="L1"/>
    <s v="Hyderabad"/>
    <n v="65000"/>
    <n v="14000"/>
    <n v="79000"/>
    <n v="220000"/>
    <n v="-0.64090909090909087"/>
    <n v="0.17721518987341772"/>
  </r>
  <r>
    <n v="40"/>
    <x v="39"/>
    <x v="0"/>
    <s v="Director"/>
    <s v="L6"/>
    <s v="Bangalore"/>
    <n v="65000"/>
    <n v="12000"/>
    <n v="77000"/>
    <n v="182500"/>
    <n v="-0.57808219178082187"/>
    <n v="0.15584415584415584"/>
  </r>
  <r>
    <n v="41"/>
    <x v="40"/>
    <x v="4"/>
    <s v="Analyst"/>
    <s v="L2"/>
    <s v="Mumbai"/>
    <n v="80000"/>
    <n v="16000"/>
    <n v="96000"/>
    <n v="220000"/>
    <n v="-0.5636363636363636"/>
    <n v="0.16666666666666666"/>
  </r>
  <r>
    <n v="42"/>
    <x v="41"/>
    <x v="0"/>
    <s v="Intern"/>
    <s v="L6"/>
    <s v="Vizag"/>
    <n v="85000"/>
    <n v="15000"/>
    <n v="100000"/>
    <n v="135000"/>
    <n v="-0.25925925925925924"/>
    <n v="0.15"/>
  </r>
  <r>
    <n v="43"/>
    <x v="42"/>
    <x v="0"/>
    <s v="Manager"/>
    <s v="L2"/>
    <s v="Delhi"/>
    <n v="85000"/>
    <n v="20000"/>
    <n v="105000"/>
    <n v="120000"/>
    <n v="-0.125"/>
    <n v="0.19047619047619047"/>
  </r>
  <r>
    <n v="44"/>
    <x v="43"/>
    <x v="0"/>
    <s v="Manager"/>
    <s v="L3"/>
    <s v="Mumbai"/>
    <n v="100000"/>
    <n v="11000"/>
    <n v="111000"/>
    <n v="150000"/>
    <n v="-0.26"/>
    <n v="9.90990990990991E-2"/>
  </r>
  <r>
    <n v="45"/>
    <x v="44"/>
    <x v="3"/>
    <s v="Analyst"/>
    <s v="L6"/>
    <s v="Hyderabad"/>
    <n v="95000"/>
    <n v="12000"/>
    <n v="107000"/>
    <n v="750000"/>
    <n v="-0.85733333333333328"/>
    <n v="0.11214953271028037"/>
  </r>
  <r>
    <n v="46"/>
    <x v="45"/>
    <x v="3"/>
    <s v="Manager"/>
    <s v="L4"/>
    <s v="Delhi"/>
    <n v="90000"/>
    <n v="12000"/>
    <n v="102000"/>
    <n v="100000"/>
    <n v="0.02"/>
    <n v="0.11764705882352941"/>
  </r>
  <r>
    <n v="47"/>
    <x v="46"/>
    <x v="3"/>
    <s v="Manager"/>
    <s v="L6"/>
    <s v="Mumbai"/>
    <n v="75000"/>
    <n v="12000"/>
    <n v="87000"/>
    <n v="100000"/>
    <n v="-0.13"/>
    <n v="0.13793103448275862"/>
  </r>
  <r>
    <n v="48"/>
    <x v="47"/>
    <x v="4"/>
    <s v="Analyst"/>
    <s v="L5"/>
    <s v="Bangalore"/>
    <n v="80000"/>
    <n v="13000"/>
    <n v="93000"/>
    <n v="140000"/>
    <n v="-0.33571428571428569"/>
    <n v="0.13978494623655913"/>
  </r>
  <r>
    <n v="49"/>
    <x v="48"/>
    <x v="2"/>
    <s v="Executive"/>
    <s v="L5"/>
    <s v="Hyderabad"/>
    <n v="75000"/>
    <n v="20000"/>
    <n v="95000"/>
    <n v="750000"/>
    <n v="-0.87333333333333329"/>
    <n v="0.21052631578947367"/>
  </r>
  <r>
    <n v="50"/>
    <x v="49"/>
    <x v="3"/>
    <s v="Director"/>
    <s v="L5"/>
    <s v="Hyderabad"/>
    <n v="95000"/>
    <n v="14000"/>
    <n v="109000"/>
    <n v="140000"/>
    <n v="-0.22142857142857142"/>
    <n v="0.12844036697247707"/>
  </r>
  <r>
    <n v="51"/>
    <x v="50"/>
    <x v="4"/>
    <s v="Analyst"/>
    <s v="L1"/>
    <s v="Vizag"/>
    <n v="65000"/>
    <n v="20000"/>
    <n v="85000"/>
    <n v="182500"/>
    <n v="-0.53424657534246578"/>
    <n v="0.23529411764705882"/>
  </r>
  <r>
    <n v="52"/>
    <x v="51"/>
    <x v="2"/>
    <s v="Analyst"/>
    <s v="L3"/>
    <s v="Delhi"/>
    <n v="80000"/>
    <n v="19000"/>
    <n v="99000"/>
    <n v="120000"/>
    <n v="-0.17499999999999999"/>
    <n v="0.19191919191919191"/>
  </r>
  <r>
    <n v="53"/>
    <x v="52"/>
    <x v="0"/>
    <s v="Manager"/>
    <s v="L3"/>
    <s v="Vizag"/>
    <n v="75000"/>
    <n v="13000"/>
    <n v="88000"/>
    <n v="150000"/>
    <n v="-0.41333333333333333"/>
    <n v="0.14772727272727273"/>
  </r>
  <r>
    <n v="54"/>
    <x v="53"/>
    <x v="3"/>
    <s v="Intern"/>
    <s v="L6"/>
    <s v="Delhi"/>
    <n v="65000"/>
    <n v="15000"/>
    <n v="80000"/>
    <n v="100000"/>
    <n v="-0.2"/>
    <n v="0.1875"/>
  </r>
  <r>
    <n v="55"/>
    <x v="54"/>
    <x v="3"/>
    <s v="Manager"/>
    <s v="L2"/>
    <s v="Mumbai"/>
    <n v="80000"/>
    <n v="12000"/>
    <n v="92000"/>
    <n v="135000"/>
    <n v="-0.31851851851851853"/>
    <n v="0.13043478260869565"/>
  </r>
  <r>
    <n v="56"/>
    <x v="55"/>
    <x v="3"/>
    <s v="Director"/>
    <s v="L2"/>
    <s v="Hyderabad"/>
    <n v="90000"/>
    <n v="18000"/>
    <n v="108000"/>
    <n v="100000"/>
    <n v="0.08"/>
    <n v="0.16666666666666666"/>
  </r>
  <r>
    <n v="57"/>
    <x v="56"/>
    <x v="1"/>
    <s v="Analyst"/>
    <s v="L2"/>
    <s v="Hyderabad"/>
    <n v="95000"/>
    <n v="16000"/>
    <n v="111000"/>
    <n v="182500"/>
    <n v="-0.39178082191780822"/>
    <n v="0.14414414414414414"/>
  </r>
  <r>
    <n v="58"/>
    <x v="57"/>
    <x v="4"/>
    <s v="Executive"/>
    <s v="L4"/>
    <s v="Bangalore"/>
    <n v="85000"/>
    <n v="15000"/>
    <n v="100000"/>
    <n v="160000"/>
    <n v="-0.375"/>
    <n v="0.15"/>
  </r>
  <r>
    <n v="59"/>
    <x v="58"/>
    <x v="3"/>
    <s v="Intern"/>
    <s v="L1"/>
    <s v="Bangalore"/>
    <n v="65000"/>
    <n v="19000"/>
    <n v="84000"/>
    <n v="135000"/>
    <n v="-0.37777777777777777"/>
    <n v="0.22619047619047619"/>
  </r>
  <r>
    <n v="60"/>
    <x v="59"/>
    <x v="2"/>
    <s v="Manager"/>
    <s v="L6"/>
    <s v="Mumbai"/>
    <n v="80000"/>
    <n v="20000"/>
    <n v="100000"/>
    <n v="220000"/>
    <n v="-0.54545454545454541"/>
    <n v="0.2"/>
  </r>
  <r>
    <n v="61"/>
    <x v="60"/>
    <x v="0"/>
    <s v="Manager"/>
    <s v="L4"/>
    <s v="Hyderabad"/>
    <n v="55000"/>
    <n v="12000"/>
    <n v="67000"/>
    <n v="150000"/>
    <n v="-0.55333333333333334"/>
    <n v="0.17910447761194029"/>
  </r>
  <r>
    <n v="62"/>
    <x v="61"/>
    <x v="2"/>
    <s v="Intern"/>
    <s v="L4"/>
    <s v="Mumbai"/>
    <n v="80000"/>
    <n v="12000"/>
    <n v="92000"/>
    <n v="135000"/>
    <n v="-0.31851851851851853"/>
    <n v="0.13043478260869565"/>
  </r>
  <r>
    <n v="63"/>
    <x v="62"/>
    <x v="2"/>
    <s v="Analyst"/>
    <s v="L2"/>
    <s v="Vizag"/>
    <n v="50000"/>
    <n v="15000"/>
    <n v="65000"/>
    <n v="160000"/>
    <n v="-0.59375"/>
    <n v="0.23076923076923078"/>
  </r>
  <r>
    <n v="64"/>
    <x v="63"/>
    <x v="1"/>
    <s v="Intern"/>
    <s v="L6"/>
    <s v="Delhi"/>
    <n v="80000"/>
    <n v="13000"/>
    <n v="93000"/>
    <n v="100000"/>
    <n v="-7.0000000000000007E-2"/>
    <n v="0.13978494623655913"/>
  </r>
  <r>
    <n v="65"/>
    <x v="64"/>
    <x v="0"/>
    <s v="Intern"/>
    <s v="L5"/>
    <s v="Hyderabad"/>
    <n v="65000"/>
    <n v="12000"/>
    <n v="77000"/>
    <n v="160000"/>
    <n v="-0.51875000000000004"/>
    <n v="0.15584415584415584"/>
  </r>
  <r>
    <n v="66"/>
    <x v="64"/>
    <x v="0"/>
    <s v="Intern"/>
    <s v="L6"/>
    <s v="Bangalore"/>
    <n v="65000"/>
    <n v="19000"/>
    <n v="84000"/>
    <n v="140000"/>
    <n v="-0.4"/>
    <n v="0.22619047619047619"/>
  </r>
  <r>
    <n v="67"/>
    <x v="65"/>
    <x v="0"/>
    <s v="Manager"/>
    <s v="L3"/>
    <s v="Delhi"/>
    <n v="85000"/>
    <n v="15000"/>
    <n v="100000"/>
    <n v="120000"/>
    <n v="-0.16666666666666666"/>
    <n v="0.15"/>
  </r>
  <r>
    <n v="68"/>
    <x v="66"/>
    <x v="4"/>
    <s v="Manager"/>
    <s v="L3"/>
    <s v="Hyderabad"/>
    <n v="80000"/>
    <n v="12000"/>
    <n v="92000"/>
    <n v="120000"/>
    <n v="-0.23333333333333334"/>
    <n v="0.13043478260869565"/>
  </r>
  <r>
    <n v="69"/>
    <x v="67"/>
    <x v="0"/>
    <s v="Intern"/>
    <s v="L6"/>
    <s v="Hyderabad"/>
    <n v="70000"/>
    <n v="18000"/>
    <n v="88000"/>
    <n v="120000"/>
    <n v="-0.26666666666666666"/>
    <n v="0.20454545454545456"/>
  </r>
  <r>
    <n v="70"/>
    <x v="68"/>
    <x v="4"/>
    <s v="Executive"/>
    <s v="L4"/>
    <s v="Vizag"/>
    <n v="65000"/>
    <n v="18000"/>
    <n v="83000"/>
    <n v="120000"/>
    <n v="-0.30833333333333335"/>
    <n v="0.21686746987951808"/>
  </r>
  <r>
    <n v="71"/>
    <x v="69"/>
    <x v="2"/>
    <s v="Executive"/>
    <s v="L3"/>
    <s v="Mumbai"/>
    <n v="85000"/>
    <n v="16000"/>
    <n v="101000"/>
    <n v="120000"/>
    <n v="-0.15833333333333333"/>
    <n v="0.15841584158415842"/>
  </r>
  <r>
    <n v="72"/>
    <x v="70"/>
    <x v="1"/>
    <s v="Manager"/>
    <s v="L3"/>
    <s v="Hyderabad"/>
    <n v="55000"/>
    <n v="20000"/>
    <n v="75000"/>
    <n v="200000"/>
    <n v="-0.625"/>
    <n v="0.26666666666666666"/>
  </r>
  <r>
    <n v="73"/>
    <x v="71"/>
    <x v="0"/>
    <s v="Analyst"/>
    <s v="L2"/>
    <s v="Hyderabad"/>
    <n v="70000"/>
    <n v="15000"/>
    <n v="85000"/>
    <n v="150000"/>
    <n v="-0.43333333333333335"/>
    <n v="0.17647058823529413"/>
  </r>
  <r>
    <n v="74"/>
    <x v="72"/>
    <x v="2"/>
    <s v="Manager"/>
    <s v="L2"/>
    <s v="Hyderabad"/>
    <n v="95000"/>
    <n v="18000"/>
    <n v="113000"/>
    <n v="150000"/>
    <n v="-0.24666666666666667"/>
    <n v="0.15929203539823009"/>
  </r>
  <r>
    <n v="75"/>
    <x v="73"/>
    <x v="1"/>
    <s v="Executive"/>
    <s v="L5"/>
    <s v="Bangalore"/>
    <n v="80000"/>
    <n v="19000"/>
    <n v="99000"/>
    <n v="140000"/>
    <n v="-0.29285714285714287"/>
    <n v="0.19191919191919191"/>
  </r>
  <r>
    <n v="76"/>
    <x v="74"/>
    <x v="3"/>
    <s v="Intern"/>
    <s v="L3"/>
    <s v="Vizag"/>
    <n v="80000"/>
    <n v="17000"/>
    <n v="97000"/>
    <n v="182500"/>
    <n v="-0.46849315068493153"/>
    <n v="0.17525773195876287"/>
  </r>
  <r>
    <n v="77"/>
    <x v="75"/>
    <x v="1"/>
    <s v="Intern"/>
    <s v="L4"/>
    <s v="Vizag"/>
    <n v="80000"/>
    <n v="12000"/>
    <n v="92000"/>
    <n v="100000"/>
    <n v="-0.08"/>
    <n v="0.13043478260869565"/>
  </r>
  <r>
    <n v="78"/>
    <x v="76"/>
    <x v="4"/>
    <s v="Director"/>
    <s v="L1"/>
    <s v="Mumbai"/>
    <n v="90000"/>
    <n v="12000"/>
    <n v="102000"/>
    <n v="140000"/>
    <n v="-0.27142857142857141"/>
    <n v="0.11764705882352941"/>
  </r>
  <r>
    <n v="79"/>
    <x v="77"/>
    <x v="2"/>
    <s v="Executive"/>
    <s v="L2"/>
    <s v="Mumbai"/>
    <n v="80000"/>
    <n v="20000"/>
    <n v="100000"/>
    <n v="220000"/>
    <n v="-0.54545454545454541"/>
    <n v="0.2"/>
  </r>
  <r>
    <n v="80"/>
    <x v="78"/>
    <x v="4"/>
    <s v="Executive"/>
    <s v="L5"/>
    <s v="Bangalore"/>
    <n v="80000"/>
    <n v="17000"/>
    <n v="97000"/>
    <n v="160000"/>
    <n v="-0.39374999999999999"/>
    <n v="0.17525773195876287"/>
  </r>
  <r>
    <n v="81"/>
    <x v="79"/>
    <x v="2"/>
    <s v="Intern"/>
    <s v="L5"/>
    <s v="Mumbai"/>
    <n v="85000"/>
    <n v="12000"/>
    <n v="97000"/>
    <n v="750000"/>
    <n v="-0.8706666666666667"/>
    <n v="0.12371134020618557"/>
  </r>
  <r>
    <n v="82"/>
    <x v="80"/>
    <x v="1"/>
    <s v="Manager"/>
    <s v="L2"/>
    <s v="Bangalore"/>
    <n v="80000"/>
    <n v="12000"/>
    <n v="92000"/>
    <n v="140000"/>
    <n v="-0.34285714285714286"/>
    <n v="0.13043478260869565"/>
  </r>
  <r>
    <n v="83"/>
    <x v="81"/>
    <x v="0"/>
    <s v="Analyst"/>
    <s v="L4"/>
    <s v="Delhi"/>
    <n v="55000"/>
    <n v="19000"/>
    <n v="74000"/>
    <n v="120000"/>
    <n v="-0.38333333333333336"/>
    <n v="0.25675675675675674"/>
  </r>
  <r>
    <n v="84"/>
    <x v="82"/>
    <x v="3"/>
    <s v="Analyst"/>
    <s v="L5"/>
    <s v="Mumbai"/>
    <n v="95000"/>
    <n v="15000"/>
    <n v="110000"/>
    <n v="140000"/>
    <n v="-0.21428571428571427"/>
    <n v="0.13636363636363635"/>
  </r>
  <r>
    <n v="85"/>
    <x v="83"/>
    <x v="2"/>
    <s v="Director"/>
    <s v="L5"/>
    <s v="Hyderabad"/>
    <n v="80000"/>
    <n v="10000"/>
    <n v="90000"/>
    <n v="150000"/>
    <n v="-0.4"/>
    <n v="0.1111111111111111"/>
  </r>
  <r>
    <n v="86"/>
    <x v="84"/>
    <x v="4"/>
    <s v="Analyst"/>
    <s v="L6"/>
    <s v="Delhi"/>
    <n v="50000"/>
    <n v="14000"/>
    <n v="64000"/>
    <n v="750000"/>
    <n v="-0.91466666666666663"/>
    <n v="0.21875"/>
  </r>
  <r>
    <n v="87"/>
    <x v="85"/>
    <x v="0"/>
    <s v="Analyst"/>
    <s v="L2"/>
    <s v="Delhi"/>
    <n v="90000"/>
    <n v="14000"/>
    <n v="104000"/>
    <n v="750000"/>
    <n v="-0.86133333333333328"/>
    <n v="0.13461538461538461"/>
  </r>
  <r>
    <n v="88"/>
    <x v="86"/>
    <x v="1"/>
    <s v="Director"/>
    <s v="L5"/>
    <s v="Hyderabad"/>
    <n v="55000"/>
    <n v="19000"/>
    <n v="74000"/>
    <n v="120000"/>
    <n v="-0.38333333333333336"/>
    <n v="0.25675675675675674"/>
  </r>
  <r>
    <n v="89"/>
    <x v="87"/>
    <x v="0"/>
    <s v="Analyst"/>
    <s v="L1"/>
    <s v="Mumbai"/>
    <n v="65000"/>
    <n v="12000"/>
    <n v="77000"/>
    <n v="182500"/>
    <n v="-0.57808219178082187"/>
    <n v="0.15584415584415584"/>
  </r>
  <r>
    <n v="90"/>
    <x v="88"/>
    <x v="0"/>
    <s v="Intern"/>
    <s v="L6"/>
    <s v="Vizag"/>
    <n v="70000"/>
    <n v="12000"/>
    <n v="82000"/>
    <n v="750000"/>
    <n v="-0.89066666666666672"/>
    <n v="0.14634146341463414"/>
  </r>
  <r>
    <n v="91"/>
    <x v="89"/>
    <x v="2"/>
    <s v="Director"/>
    <s v="L2"/>
    <s v="Vizag"/>
    <n v="80000"/>
    <n v="12000"/>
    <n v="92000"/>
    <n v="140000"/>
    <n v="-0.34285714285714286"/>
    <n v="0.13043478260869565"/>
  </r>
  <r>
    <n v="92"/>
    <x v="90"/>
    <x v="0"/>
    <s v="Intern"/>
    <s v="L1"/>
    <s v="Hyderabad"/>
    <n v="75000"/>
    <n v="15000"/>
    <n v="90000"/>
    <n v="182500"/>
    <n v="-0.50684931506849318"/>
    <n v="0.16666666666666666"/>
  </r>
  <r>
    <n v="93"/>
    <x v="91"/>
    <x v="4"/>
    <s v="Manager"/>
    <s v="L5"/>
    <s v="Bangalore"/>
    <n v="90000"/>
    <n v="15000"/>
    <n v="105000"/>
    <n v="150000"/>
    <n v="-0.3"/>
    <n v="0.14285714285714285"/>
  </r>
  <r>
    <n v="94"/>
    <x v="92"/>
    <x v="1"/>
    <s v="Manager"/>
    <s v="L6"/>
    <s v="Delhi"/>
    <n v="90000"/>
    <n v="19000"/>
    <n v="109000"/>
    <n v="220000"/>
    <n v="-0.50454545454545452"/>
    <n v="0.1743119266055046"/>
  </r>
  <r>
    <n v="95"/>
    <x v="93"/>
    <x v="0"/>
    <s v="Director"/>
    <s v="L4"/>
    <s v="Delhi"/>
    <n v="80000"/>
    <n v="14000"/>
    <n v="94000"/>
    <n v="750000"/>
    <n v="-0.8746666666666667"/>
    <n v="0.14893617021276595"/>
  </r>
  <r>
    <n v="96"/>
    <x v="94"/>
    <x v="1"/>
    <s v="Director"/>
    <s v="L6"/>
    <s v="Hyderabad"/>
    <n v="55000"/>
    <n v="12000"/>
    <n v="67000"/>
    <n v="160000"/>
    <n v="-0.58125000000000004"/>
    <n v="0.17910447761194029"/>
  </r>
  <r>
    <n v="97"/>
    <x v="95"/>
    <x v="4"/>
    <s v="Intern"/>
    <s v="L3"/>
    <s v="Bangalore"/>
    <n v="70000"/>
    <n v="20000"/>
    <n v="90000"/>
    <n v="135000"/>
    <n v="-0.33333333333333331"/>
    <n v="0.22222222222222221"/>
  </r>
  <r>
    <n v="98"/>
    <x v="96"/>
    <x v="0"/>
    <s v="Director"/>
    <s v="L6"/>
    <s v="Hyderabad"/>
    <n v="55000"/>
    <n v="15000"/>
    <n v="70000"/>
    <n v="220000"/>
    <n v="-0.68181818181818177"/>
    <n v="0.21428571428571427"/>
  </r>
  <r>
    <n v="99"/>
    <x v="97"/>
    <x v="2"/>
    <s v="Analyst"/>
    <s v="L4"/>
    <s v="Vizag"/>
    <n v="65000"/>
    <n v="20000"/>
    <n v="85000"/>
    <n v="160000"/>
    <n v="-0.46875"/>
    <n v="0.23529411764705882"/>
  </r>
  <r>
    <n v="100"/>
    <x v="98"/>
    <x v="2"/>
    <s v="Intern"/>
    <s v="L6"/>
    <s v="Bangalore"/>
    <n v="80000"/>
    <n v="13000"/>
    <n v="93000"/>
    <n v="750000"/>
    <n v="-0.876"/>
    <n v="0.13978494623655913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1"/>
    <x v="0"/>
    <x v="0"/>
    <s v="Director"/>
    <s v="L4"/>
    <s v="Vizag"/>
    <n v="65000"/>
    <n v="16000"/>
    <n v="81000"/>
    <n v="200000"/>
    <n v="-0.59499999999999997"/>
    <n v="0.19753086419753085"/>
  </r>
  <r>
    <n v="2"/>
    <x v="1"/>
    <x v="1"/>
    <s v="Manager"/>
    <s v="L1"/>
    <s v="Mumbai"/>
    <n v="95000"/>
    <n v="13000"/>
    <n v="108000"/>
    <n v="200000"/>
    <n v="-0.46"/>
    <n v="0.12037037037037036"/>
  </r>
  <r>
    <n v="3"/>
    <x v="2"/>
    <x v="0"/>
    <s v="Analyst"/>
    <s v="L2"/>
    <s v="Mumbai"/>
    <n v="80000"/>
    <n v="20000"/>
    <n v="100000"/>
    <n v="200000"/>
    <n v="-0.5"/>
    <n v="0.2"/>
  </r>
  <r>
    <n v="4"/>
    <x v="3"/>
    <x v="0"/>
    <s v="Director"/>
    <s v="L4"/>
    <s v="Vizag"/>
    <n v="65000"/>
    <n v="12000"/>
    <n v="77000"/>
    <n v="200000"/>
    <n v="-0.61499999999999999"/>
    <n v="0.15584415584415584"/>
  </r>
  <r>
    <n v="5"/>
    <x v="4"/>
    <x v="0"/>
    <s v="Director"/>
    <s v="L5"/>
    <s v="Hyderabad"/>
    <n v="100000"/>
    <n v="15000"/>
    <n v="115000"/>
    <n v="135000"/>
    <n v="-0.14814814814814814"/>
    <n v="0.13043478260869565"/>
  </r>
  <r>
    <n v="6"/>
    <x v="5"/>
    <x v="2"/>
    <s v="Director"/>
    <s v="L3"/>
    <s v="Hyderabad"/>
    <n v="55000"/>
    <n v="12000"/>
    <n v="67000"/>
    <n v="150000"/>
    <n v="-0.55333333333333334"/>
    <n v="0.17910447761194029"/>
  </r>
  <r>
    <n v="7"/>
    <x v="6"/>
    <x v="0"/>
    <s v="Director"/>
    <s v="L3"/>
    <s v="Hyderabad"/>
    <n v="90000"/>
    <n v="12000"/>
    <n v="102000"/>
    <n v="150000"/>
    <n v="-0.32"/>
    <n v="0.11764705882352941"/>
  </r>
  <r>
    <n v="8"/>
    <x v="7"/>
    <x v="3"/>
    <s v="Executive"/>
    <s v="L1"/>
    <s v="Delhi"/>
    <n v="80000"/>
    <n v="10000"/>
    <n v="90000"/>
    <n v="135000"/>
    <n v="-0.33333333333333331"/>
    <n v="0.1111111111111111"/>
  </r>
  <r>
    <n v="9"/>
    <x v="8"/>
    <x v="0"/>
    <s v="Executive"/>
    <s v="L5"/>
    <s v="Bangalore"/>
    <n v="65000"/>
    <n v="14000"/>
    <n v="79000"/>
    <n v="135000"/>
    <n v="-0.4148148148148148"/>
    <n v="0.17721518987341772"/>
  </r>
  <r>
    <n v="10"/>
    <x v="9"/>
    <x v="3"/>
    <s v="Executive"/>
    <s v="L3"/>
    <s v="Mumbai"/>
    <n v="90000"/>
    <n v="11000"/>
    <n v="101000"/>
    <n v="160000"/>
    <n v="-0.36875000000000002"/>
    <n v="0.10891089108910891"/>
  </r>
  <r>
    <n v="11"/>
    <x v="10"/>
    <x v="0"/>
    <s v="Director"/>
    <s v="L4"/>
    <s v="Mumbai"/>
    <n v="55000"/>
    <n v="15000"/>
    <n v="70000"/>
    <n v="140000"/>
    <n v="-0.5"/>
    <n v="0.21428571428571427"/>
  </r>
  <r>
    <n v="12"/>
    <x v="11"/>
    <x v="2"/>
    <s v="Executive"/>
    <s v="L5"/>
    <s v="Bangalore"/>
    <n v="80000"/>
    <n v="18000"/>
    <n v="98000"/>
    <n v="150000"/>
    <n v="-0.34666666666666668"/>
    <n v="0.18367346938775511"/>
  </r>
  <r>
    <n v="13"/>
    <x v="12"/>
    <x v="4"/>
    <s v="Intern"/>
    <s v="L6"/>
    <s v="Bangalore"/>
    <n v="50000"/>
    <n v="12000"/>
    <n v="62000"/>
    <n v="220000"/>
    <n v="-0.71818181818181814"/>
    <n v="0.19354838709677419"/>
  </r>
  <r>
    <n v="14"/>
    <x v="13"/>
    <x v="4"/>
    <s v="Analyst"/>
    <s v="L3"/>
    <s v="Delhi"/>
    <n v="100000"/>
    <n v="18000"/>
    <n v="118000"/>
    <n v="120000"/>
    <n v="-1.6666666666666666E-2"/>
    <n v="0.15254237288135594"/>
  </r>
  <r>
    <n v="15"/>
    <x v="14"/>
    <x v="1"/>
    <s v="Manager"/>
    <s v="L5"/>
    <s v="Mumbai"/>
    <n v="75000"/>
    <n v="15000"/>
    <n v="90000"/>
    <n v="120000"/>
    <n v="-0.25"/>
    <n v="0.16666666666666666"/>
  </r>
  <r>
    <n v="16"/>
    <x v="15"/>
    <x v="3"/>
    <s v="Intern"/>
    <s v="L2"/>
    <s v="Vizag"/>
    <n v="65000"/>
    <n v="12000"/>
    <n v="77000"/>
    <n v="160000"/>
    <n v="-0.51875000000000004"/>
    <n v="0.15584415584415584"/>
  </r>
  <r>
    <n v="17"/>
    <x v="16"/>
    <x v="2"/>
    <s v="Executive"/>
    <s v="L1"/>
    <s v="Delhi"/>
    <n v="95000"/>
    <n v="12000"/>
    <n v="107000"/>
    <n v="182500"/>
    <n v="-0.41369863013698632"/>
    <n v="0.11214953271028037"/>
  </r>
  <r>
    <n v="18"/>
    <x v="17"/>
    <x v="0"/>
    <s v="Intern"/>
    <s v="L5"/>
    <s v="Mumbai"/>
    <n v="50000"/>
    <n v="10000"/>
    <n v="60000"/>
    <n v="120000"/>
    <n v="-0.5"/>
    <n v="0.16666666666666666"/>
  </r>
  <r>
    <n v="19"/>
    <x v="18"/>
    <x v="2"/>
    <s v="Executive"/>
    <s v="L5"/>
    <s v="Hyderabad"/>
    <n v="65000"/>
    <n v="12000"/>
    <n v="77000"/>
    <n v="182500"/>
    <n v="-0.57808219178082187"/>
    <n v="0.15584415584415584"/>
  </r>
  <r>
    <n v="20"/>
    <x v="19"/>
    <x v="3"/>
    <s v="Executive"/>
    <s v="L5"/>
    <s v="Hyderabad"/>
    <n v="80000"/>
    <n v="12000"/>
    <n v="92000"/>
    <n v="100000"/>
    <n v="-0.08"/>
    <n v="0.13043478260869565"/>
  </r>
  <r>
    <n v="21"/>
    <x v="20"/>
    <x v="4"/>
    <s v="Director"/>
    <s v="L6"/>
    <s v="Vizag"/>
    <n v="75000"/>
    <n v="12000"/>
    <n v="87000"/>
    <n v="120000"/>
    <n v="-0.27500000000000002"/>
    <n v="0.13793103448275862"/>
  </r>
  <r>
    <n v="22"/>
    <x v="21"/>
    <x v="0"/>
    <s v="Manager"/>
    <s v="L2"/>
    <s v="Bangalore"/>
    <n v="95000"/>
    <n v="13000"/>
    <n v="108000"/>
    <n v="200000"/>
    <n v="-0.46"/>
    <n v="0.12037037037037036"/>
  </r>
  <r>
    <n v="23"/>
    <x v="22"/>
    <x v="3"/>
    <s v="Executive"/>
    <s v="L2"/>
    <s v="Mumbai"/>
    <n v="65000"/>
    <n v="14000"/>
    <n v="79000"/>
    <n v="160000"/>
    <n v="-0.50624999999999998"/>
    <n v="0.17721518987341772"/>
  </r>
  <r>
    <n v="24"/>
    <x v="23"/>
    <x v="2"/>
    <s v="Executive"/>
    <s v="L1"/>
    <s v="Hyderabad"/>
    <n v="80000"/>
    <n v="15000"/>
    <n v="95000"/>
    <n v="140000"/>
    <n v="-0.32142857142857145"/>
    <n v="0.15789473684210525"/>
  </r>
  <r>
    <n v="25"/>
    <x v="24"/>
    <x v="0"/>
    <s v="Executive"/>
    <s v="L3"/>
    <s v="Vizag"/>
    <n v="50000"/>
    <n v="15000"/>
    <n v="65000"/>
    <n v="150000"/>
    <n v="-0.56666666666666665"/>
    <n v="0.23076923076923078"/>
  </r>
  <r>
    <n v="26"/>
    <x v="25"/>
    <x v="1"/>
    <s v="Analyst"/>
    <s v="L6"/>
    <s v="Mumbai"/>
    <n v="100000"/>
    <n v="18000"/>
    <n v="118000"/>
    <n v="150000"/>
    <n v="-0.21333333333333335"/>
    <n v="0.15254237288135594"/>
  </r>
  <r>
    <n v="27"/>
    <x v="26"/>
    <x v="2"/>
    <s v="Manager"/>
    <s v="L6"/>
    <s v="Vizag"/>
    <n v="90000"/>
    <n v="15000"/>
    <n v="105000"/>
    <n v="150000"/>
    <n v="-0.3"/>
    <n v="0.14285714285714285"/>
  </r>
  <r>
    <n v="28"/>
    <x v="27"/>
    <x v="3"/>
    <s v="Manager"/>
    <s v="L4"/>
    <s v="Delhi"/>
    <n v="80000"/>
    <n v="12000"/>
    <n v="92000"/>
    <n v="140000"/>
    <n v="-0.34285714285714286"/>
    <n v="0.13043478260869565"/>
  </r>
  <r>
    <n v="29"/>
    <x v="28"/>
    <x v="0"/>
    <s v="Intern"/>
    <s v="L6"/>
    <s v="Delhi"/>
    <n v="65000"/>
    <n v="16000"/>
    <n v="81000"/>
    <n v="220000"/>
    <n v="-0.63181818181818183"/>
    <n v="0.19753086419753085"/>
  </r>
  <r>
    <n v="30"/>
    <x v="29"/>
    <x v="0"/>
    <s v="Analyst"/>
    <s v="L1"/>
    <s v="Delhi"/>
    <n v="65000"/>
    <n v="12000"/>
    <n v="77000"/>
    <n v="160000"/>
    <n v="-0.51875000000000004"/>
    <n v="0.15584415584415584"/>
  </r>
  <r>
    <n v="31"/>
    <x v="30"/>
    <x v="0"/>
    <s v="Analyst"/>
    <s v="L2"/>
    <s v="Bangalore"/>
    <n v="80000"/>
    <n v="20000"/>
    <n v="100000"/>
    <n v="200000"/>
    <n v="-0.5"/>
    <n v="0.2"/>
  </r>
  <r>
    <n v="32"/>
    <x v="31"/>
    <x v="0"/>
    <s v="Director"/>
    <s v="L2"/>
    <s v="Delhi"/>
    <n v="65000"/>
    <n v="15000"/>
    <n v="80000"/>
    <n v="200000"/>
    <n v="-0.6"/>
    <n v="0.1875"/>
  </r>
  <r>
    <n v="33"/>
    <x v="32"/>
    <x v="2"/>
    <s v="Manager"/>
    <s v="L2"/>
    <s v="Vizag"/>
    <n v="80000"/>
    <n v="20000"/>
    <n v="100000"/>
    <n v="120000"/>
    <n v="-0.16666666666666666"/>
    <n v="0.2"/>
  </r>
  <r>
    <n v="34"/>
    <x v="33"/>
    <x v="3"/>
    <s v="Executive"/>
    <s v="L5"/>
    <s v="Hyderabad"/>
    <n v="65000"/>
    <n v="20000"/>
    <n v="85000"/>
    <n v="100000"/>
    <n v="-0.15"/>
    <n v="0.23529411764705882"/>
  </r>
  <r>
    <n v="35"/>
    <x v="34"/>
    <x v="4"/>
    <s v="Executive"/>
    <s v="L4"/>
    <s v="Bangalore"/>
    <n v="65000"/>
    <n v="17000"/>
    <n v="82000"/>
    <n v="182500"/>
    <n v="-0.55068493150684927"/>
    <n v="0.2073170731707317"/>
  </r>
  <r>
    <n v="36"/>
    <x v="35"/>
    <x v="0"/>
    <s v="Director"/>
    <s v="L6"/>
    <s v="Vizag"/>
    <n v="95000"/>
    <n v="12000"/>
    <n v="107000"/>
    <n v="160000"/>
    <n v="-0.33124999999999999"/>
    <n v="0.11214953271028037"/>
  </r>
  <r>
    <n v="37"/>
    <x v="36"/>
    <x v="2"/>
    <s v="Analyst"/>
    <s v="L3"/>
    <s v="Hyderabad"/>
    <n v="50000"/>
    <n v="15000"/>
    <n v="65000"/>
    <n v="100000"/>
    <n v="-0.35"/>
    <n v="0.23076923076923078"/>
  </r>
  <r>
    <n v="38"/>
    <x v="37"/>
    <x v="1"/>
    <s v="Intern"/>
    <s v="L1"/>
    <s v="Mumbai"/>
    <n v="65000"/>
    <n v="12000"/>
    <n v="77000"/>
    <n v="220000"/>
    <n v="-0.65"/>
    <n v="0.15584415584415584"/>
  </r>
  <r>
    <n v="39"/>
    <x v="38"/>
    <x v="2"/>
    <s v="Director"/>
    <s v="L1"/>
    <s v="Hyderabad"/>
    <n v="65000"/>
    <n v="14000"/>
    <n v="79000"/>
    <n v="220000"/>
    <n v="-0.64090909090909087"/>
    <n v="0.17721518987341772"/>
  </r>
  <r>
    <n v="40"/>
    <x v="39"/>
    <x v="0"/>
    <s v="Director"/>
    <s v="L6"/>
    <s v="Bangalore"/>
    <n v="65000"/>
    <n v="12000"/>
    <n v="77000"/>
    <n v="182500"/>
    <n v="-0.57808219178082187"/>
    <n v="0.15584415584415584"/>
  </r>
  <r>
    <n v="41"/>
    <x v="40"/>
    <x v="4"/>
    <s v="Analyst"/>
    <s v="L2"/>
    <s v="Mumbai"/>
    <n v="80000"/>
    <n v="16000"/>
    <n v="96000"/>
    <n v="220000"/>
    <n v="-0.5636363636363636"/>
    <n v="0.16666666666666666"/>
  </r>
  <r>
    <n v="42"/>
    <x v="41"/>
    <x v="0"/>
    <s v="Intern"/>
    <s v="L6"/>
    <s v="Vizag"/>
    <n v="85000"/>
    <n v="15000"/>
    <n v="100000"/>
    <n v="135000"/>
    <n v="-0.25925925925925924"/>
    <n v="0.15"/>
  </r>
  <r>
    <n v="43"/>
    <x v="42"/>
    <x v="0"/>
    <s v="Manager"/>
    <s v="L2"/>
    <s v="Delhi"/>
    <n v="85000"/>
    <n v="20000"/>
    <n v="105000"/>
    <n v="120000"/>
    <n v="-0.125"/>
    <n v="0.19047619047619047"/>
  </r>
  <r>
    <n v="44"/>
    <x v="43"/>
    <x v="0"/>
    <s v="Manager"/>
    <s v="L3"/>
    <s v="Mumbai"/>
    <n v="100000"/>
    <n v="11000"/>
    <n v="111000"/>
    <n v="150000"/>
    <n v="-0.26"/>
    <n v="9.90990990990991E-2"/>
  </r>
  <r>
    <n v="45"/>
    <x v="44"/>
    <x v="3"/>
    <s v="Analyst"/>
    <s v="L6"/>
    <s v="Hyderabad"/>
    <n v="95000"/>
    <n v="12000"/>
    <n v="107000"/>
    <n v="750000"/>
    <n v="-0.85733333333333328"/>
    <n v="0.11214953271028037"/>
  </r>
  <r>
    <n v="46"/>
    <x v="45"/>
    <x v="3"/>
    <s v="Manager"/>
    <s v="L4"/>
    <s v="Delhi"/>
    <n v="90000"/>
    <n v="12000"/>
    <n v="102000"/>
    <n v="100000"/>
    <n v="0.02"/>
    <n v="0.11764705882352941"/>
  </r>
  <r>
    <n v="47"/>
    <x v="46"/>
    <x v="3"/>
    <s v="Manager"/>
    <s v="L6"/>
    <s v="Mumbai"/>
    <n v="75000"/>
    <n v="12000"/>
    <n v="87000"/>
    <n v="100000"/>
    <n v="-0.13"/>
    <n v="0.13793103448275862"/>
  </r>
  <r>
    <n v="48"/>
    <x v="47"/>
    <x v="4"/>
    <s v="Analyst"/>
    <s v="L5"/>
    <s v="Bangalore"/>
    <n v="80000"/>
    <n v="13000"/>
    <n v="93000"/>
    <n v="140000"/>
    <n v="-0.33571428571428569"/>
    <n v="0.13978494623655913"/>
  </r>
  <r>
    <n v="49"/>
    <x v="48"/>
    <x v="2"/>
    <s v="Executive"/>
    <s v="L5"/>
    <s v="Hyderabad"/>
    <n v="75000"/>
    <n v="20000"/>
    <n v="95000"/>
    <n v="750000"/>
    <n v="-0.87333333333333329"/>
    <n v="0.21052631578947367"/>
  </r>
  <r>
    <n v="50"/>
    <x v="49"/>
    <x v="3"/>
    <s v="Director"/>
    <s v="L5"/>
    <s v="Hyderabad"/>
    <n v="95000"/>
    <n v="14000"/>
    <n v="109000"/>
    <n v="140000"/>
    <n v="-0.22142857142857142"/>
    <n v="0.12844036697247707"/>
  </r>
  <r>
    <n v="51"/>
    <x v="50"/>
    <x v="4"/>
    <s v="Analyst"/>
    <s v="L1"/>
    <s v="Vizag"/>
    <n v="65000"/>
    <n v="20000"/>
    <n v="85000"/>
    <n v="182500"/>
    <n v="-0.53424657534246578"/>
    <n v="0.23529411764705882"/>
  </r>
  <r>
    <n v="52"/>
    <x v="51"/>
    <x v="2"/>
    <s v="Analyst"/>
    <s v="L3"/>
    <s v="Delhi"/>
    <n v="80000"/>
    <n v="19000"/>
    <n v="99000"/>
    <n v="120000"/>
    <n v="-0.17499999999999999"/>
    <n v="0.19191919191919191"/>
  </r>
  <r>
    <n v="53"/>
    <x v="52"/>
    <x v="0"/>
    <s v="Manager"/>
    <s v="L3"/>
    <s v="Vizag"/>
    <n v="75000"/>
    <n v="13000"/>
    <n v="88000"/>
    <n v="150000"/>
    <n v="-0.41333333333333333"/>
    <n v="0.14772727272727273"/>
  </r>
  <r>
    <n v="54"/>
    <x v="53"/>
    <x v="3"/>
    <s v="Intern"/>
    <s v="L6"/>
    <s v="Delhi"/>
    <n v="65000"/>
    <n v="15000"/>
    <n v="80000"/>
    <n v="100000"/>
    <n v="-0.2"/>
    <n v="0.1875"/>
  </r>
  <r>
    <n v="55"/>
    <x v="54"/>
    <x v="3"/>
    <s v="Manager"/>
    <s v="L2"/>
    <s v="Mumbai"/>
    <n v="80000"/>
    <n v="12000"/>
    <n v="92000"/>
    <n v="135000"/>
    <n v="-0.31851851851851853"/>
    <n v="0.13043478260869565"/>
  </r>
  <r>
    <n v="56"/>
    <x v="55"/>
    <x v="3"/>
    <s v="Director"/>
    <s v="L2"/>
    <s v="Hyderabad"/>
    <n v="90000"/>
    <n v="18000"/>
    <n v="108000"/>
    <n v="100000"/>
    <n v="0.08"/>
    <n v="0.16666666666666666"/>
  </r>
  <r>
    <n v="57"/>
    <x v="56"/>
    <x v="1"/>
    <s v="Analyst"/>
    <s v="L2"/>
    <s v="Hyderabad"/>
    <n v="95000"/>
    <n v="16000"/>
    <n v="111000"/>
    <n v="182500"/>
    <n v="-0.39178082191780822"/>
    <n v="0.14414414414414414"/>
  </r>
  <r>
    <n v="58"/>
    <x v="57"/>
    <x v="4"/>
    <s v="Executive"/>
    <s v="L4"/>
    <s v="Bangalore"/>
    <n v="85000"/>
    <n v="15000"/>
    <n v="100000"/>
    <n v="160000"/>
    <n v="-0.375"/>
    <n v="0.15"/>
  </r>
  <r>
    <n v="59"/>
    <x v="58"/>
    <x v="3"/>
    <s v="Intern"/>
    <s v="L1"/>
    <s v="Bangalore"/>
    <n v="65000"/>
    <n v="19000"/>
    <n v="84000"/>
    <n v="135000"/>
    <n v="-0.37777777777777777"/>
    <n v="0.22619047619047619"/>
  </r>
  <r>
    <n v="60"/>
    <x v="59"/>
    <x v="2"/>
    <s v="Manager"/>
    <s v="L6"/>
    <s v="Mumbai"/>
    <n v="80000"/>
    <n v="20000"/>
    <n v="100000"/>
    <n v="220000"/>
    <n v="-0.54545454545454541"/>
    <n v="0.2"/>
  </r>
  <r>
    <n v="61"/>
    <x v="60"/>
    <x v="0"/>
    <s v="Manager"/>
    <s v="L4"/>
    <s v="Hyderabad"/>
    <n v="55000"/>
    <n v="12000"/>
    <n v="67000"/>
    <n v="150000"/>
    <n v="-0.55333333333333334"/>
    <n v="0.17910447761194029"/>
  </r>
  <r>
    <n v="62"/>
    <x v="61"/>
    <x v="2"/>
    <s v="Intern"/>
    <s v="L4"/>
    <s v="Mumbai"/>
    <n v="80000"/>
    <n v="12000"/>
    <n v="92000"/>
    <n v="135000"/>
    <n v="-0.31851851851851853"/>
    <n v="0.13043478260869565"/>
  </r>
  <r>
    <n v="63"/>
    <x v="62"/>
    <x v="2"/>
    <s v="Analyst"/>
    <s v="L2"/>
    <s v="Vizag"/>
    <n v="50000"/>
    <n v="15000"/>
    <n v="65000"/>
    <n v="160000"/>
    <n v="-0.59375"/>
    <n v="0.23076923076923078"/>
  </r>
  <r>
    <n v="64"/>
    <x v="63"/>
    <x v="1"/>
    <s v="Intern"/>
    <s v="L6"/>
    <s v="Delhi"/>
    <n v="80000"/>
    <n v="13000"/>
    <n v="93000"/>
    <n v="100000"/>
    <n v="-7.0000000000000007E-2"/>
    <n v="0.13978494623655913"/>
  </r>
  <r>
    <n v="65"/>
    <x v="64"/>
    <x v="0"/>
    <s v="Intern"/>
    <s v="L5"/>
    <s v="Hyderabad"/>
    <n v="65000"/>
    <n v="12000"/>
    <n v="77000"/>
    <n v="160000"/>
    <n v="-0.51875000000000004"/>
    <n v="0.15584415584415584"/>
  </r>
  <r>
    <n v="66"/>
    <x v="64"/>
    <x v="0"/>
    <s v="Intern"/>
    <s v="L6"/>
    <s v="Bangalore"/>
    <n v="65000"/>
    <n v="19000"/>
    <n v="84000"/>
    <n v="140000"/>
    <n v="-0.4"/>
    <n v="0.22619047619047619"/>
  </r>
  <r>
    <n v="67"/>
    <x v="65"/>
    <x v="0"/>
    <s v="Manager"/>
    <s v="L3"/>
    <s v="Delhi"/>
    <n v="85000"/>
    <n v="15000"/>
    <n v="100000"/>
    <n v="120000"/>
    <n v="-0.16666666666666666"/>
    <n v="0.15"/>
  </r>
  <r>
    <n v="68"/>
    <x v="66"/>
    <x v="4"/>
    <s v="Manager"/>
    <s v="L3"/>
    <s v="Hyderabad"/>
    <n v="80000"/>
    <n v="12000"/>
    <n v="92000"/>
    <n v="120000"/>
    <n v="-0.23333333333333334"/>
    <n v="0.13043478260869565"/>
  </r>
  <r>
    <n v="69"/>
    <x v="67"/>
    <x v="0"/>
    <s v="Intern"/>
    <s v="L6"/>
    <s v="Hyderabad"/>
    <n v="70000"/>
    <n v="18000"/>
    <n v="88000"/>
    <n v="120000"/>
    <n v="-0.26666666666666666"/>
    <n v="0.20454545454545456"/>
  </r>
  <r>
    <n v="70"/>
    <x v="68"/>
    <x v="4"/>
    <s v="Executive"/>
    <s v="L4"/>
    <s v="Vizag"/>
    <n v="65000"/>
    <n v="18000"/>
    <n v="83000"/>
    <n v="120000"/>
    <n v="-0.30833333333333335"/>
    <n v="0.21686746987951808"/>
  </r>
  <r>
    <n v="71"/>
    <x v="69"/>
    <x v="2"/>
    <s v="Executive"/>
    <s v="L3"/>
    <s v="Mumbai"/>
    <n v="85000"/>
    <n v="16000"/>
    <n v="101000"/>
    <n v="120000"/>
    <n v="-0.15833333333333333"/>
    <n v="0.15841584158415842"/>
  </r>
  <r>
    <n v="72"/>
    <x v="70"/>
    <x v="1"/>
    <s v="Manager"/>
    <s v="L3"/>
    <s v="Hyderabad"/>
    <n v="55000"/>
    <n v="20000"/>
    <n v="75000"/>
    <n v="200000"/>
    <n v="-0.625"/>
    <n v="0.26666666666666666"/>
  </r>
  <r>
    <n v="73"/>
    <x v="71"/>
    <x v="0"/>
    <s v="Analyst"/>
    <s v="L2"/>
    <s v="Hyderabad"/>
    <n v="70000"/>
    <n v="15000"/>
    <n v="85000"/>
    <n v="150000"/>
    <n v="-0.43333333333333335"/>
    <n v="0.17647058823529413"/>
  </r>
  <r>
    <n v="74"/>
    <x v="72"/>
    <x v="2"/>
    <s v="Manager"/>
    <s v="L2"/>
    <s v="Hyderabad"/>
    <n v="95000"/>
    <n v="18000"/>
    <n v="113000"/>
    <n v="150000"/>
    <n v="-0.24666666666666667"/>
    <n v="0.15929203539823009"/>
  </r>
  <r>
    <n v="75"/>
    <x v="73"/>
    <x v="1"/>
    <s v="Executive"/>
    <s v="L5"/>
    <s v="Bangalore"/>
    <n v="80000"/>
    <n v="19000"/>
    <n v="99000"/>
    <n v="140000"/>
    <n v="-0.29285714285714287"/>
    <n v="0.19191919191919191"/>
  </r>
  <r>
    <n v="76"/>
    <x v="74"/>
    <x v="3"/>
    <s v="Intern"/>
    <s v="L3"/>
    <s v="Vizag"/>
    <n v="80000"/>
    <n v="17000"/>
    <n v="97000"/>
    <n v="182500"/>
    <n v="-0.46849315068493153"/>
    <n v="0.17525773195876287"/>
  </r>
  <r>
    <n v="77"/>
    <x v="75"/>
    <x v="1"/>
    <s v="Intern"/>
    <s v="L4"/>
    <s v="Vizag"/>
    <n v="80000"/>
    <n v="12000"/>
    <n v="92000"/>
    <n v="100000"/>
    <n v="-0.08"/>
    <n v="0.13043478260869565"/>
  </r>
  <r>
    <n v="78"/>
    <x v="76"/>
    <x v="4"/>
    <s v="Director"/>
    <s v="L1"/>
    <s v="Mumbai"/>
    <n v="90000"/>
    <n v="12000"/>
    <n v="102000"/>
    <n v="140000"/>
    <n v="-0.27142857142857141"/>
    <n v="0.11764705882352941"/>
  </r>
  <r>
    <n v="79"/>
    <x v="77"/>
    <x v="2"/>
    <s v="Executive"/>
    <s v="L2"/>
    <s v="Mumbai"/>
    <n v="80000"/>
    <n v="20000"/>
    <n v="100000"/>
    <n v="220000"/>
    <n v="-0.54545454545454541"/>
    <n v="0.2"/>
  </r>
  <r>
    <n v="80"/>
    <x v="78"/>
    <x v="4"/>
    <s v="Executive"/>
    <s v="L5"/>
    <s v="Bangalore"/>
    <n v="80000"/>
    <n v="17000"/>
    <n v="97000"/>
    <n v="160000"/>
    <n v="-0.39374999999999999"/>
    <n v="0.17525773195876287"/>
  </r>
  <r>
    <n v="81"/>
    <x v="79"/>
    <x v="2"/>
    <s v="Intern"/>
    <s v="L5"/>
    <s v="Mumbai"/>
    <n v="85000"/>
    <n v="12000"/>
    <n v="97000"/>
    <n v="750000"/>
    <n v="-0.8706666666666667"/>
    <n v="0.12371134020618557"/>
  </r>
  <r>
    <n v="82"/>
    <x v="80"/>
    <x v="1"/>
    <s v="Manager"/>
    <s v="L2"/>
    <s v="Bangalore"/>
    <n v="80000"/>
    <n v="12000"/>
    <n v="92000"/>
    <n v="140000"/>
    <n v="-0.34285714285714286"/>
    <n v="0.13043478260869565"/>
  </r>
  <r>
    <n v="83"/>
    <x v="81"/>
    <x v="0"/>
    <s v="Analyst"/>
    <s v="L4"/>
    <s v="Delhi"/>
    <n v="55000"/>
    <n v="19000"/>
    <n v="74000"/>
    <n v="120000"/>
    <n v="-0.38333333333333336"/>
    <n v="0.25675675675675674"/>
  </r>
  <r>
    <n v="84"/>
    <x v="82"/>
    <x v="3"/>
    <s v="Analyst"/>
    <s v="L5"/>
    <s v="Mumbai"/>
    <n v="95000"/>
    <n v="15000"/>
    <n v="110000"/>
    <n v="140000"/>
    <n v="-0.21428571428571427"/>
    <n v="0.13636363636363635"/>
  </r>
  <r>
    <n v="85"/>
    <x v="83"/>
    <x v="2"/>
    <s v="Director"/>
    <s v="L5"/>
    <s v="Hyderabad"/>
    <n v="80000"/>
    <n v="10000"/>
    <n v="90000"/>
    <n v="150000"/>
    <n v="-0.4"/>
    <n v="0.1111111111111111"/>
  </r>
  <r>
    <n v="86"/>
    <x v="84"/>
    <x v="4"/>
    <s v="Analyst"/>
    <s v="L6"/>
    <s v="Delhi"/>
    <n v="50000"/>
    <n v="14000"/>
    <n v="64000"/>
    <n v="750000"/>
    <n v="-0.91466666666666663"/>
    <n v="0.21875"/>
  </r>
  <r>
    <n v="87"/>
    <x v="85"/>
    <x v="0"/>
    <s v="Analyst"/>
    <s v="L2"/>
    <s v="Delhi"/>
    <n v="90000"/>
    <n v="14000"/>
    <n v="104000"/>
    <n v="750000"/>
    <n v="-0.86133333333333328"/>
    <n v="0.13461538461538461"/>
  </r>
  <r>
    <n v="88"/>
    <x v="86"/>
    <x v="1"/>
    <s v="Director"/>
    <s v="L5"/>
    <s v="Hyderabad"/>
    <n v="55000"/>
    <n v="19000"/>
    <n v="74000"/>
    <n v="120000"/>
    <n v="-0.38333333333333336"/>
    <n v="0.25675675675675674"/>
  </r>
  <r>
    <n v="89"/>
    <x v="87"/>
    <x v="0"/>
    <s v="Analyst"/>
    <s v="L1"/>
    <s v="Mumbai"/>
    <n v="65000"/>
    <n v="12000"/>
    <n v="77000"/>
    <n v="182500"/>
    <n v="-0.57808219178082187"/>
    <n v="0.15584415584415584"/>
  </r>
  <r>
    <n v="90"/>
    <x v="88"/>
    <x v="0"/>
    <s v="Intern"/>
    <s v="L6"/>
    <s v="Vizag"/>
    <n v="70000"/>
    <n v="12000"/>
    <n v="82000"/>
    <n v="750000"/>
    <n v="-0.89066666666666672"/>
    <n v="0.14634146341463414"/>
  </r>
  <r>
    <n v="91"/>
    <x v="89"/>
    <x v="2"/>
    <s v="Director"/>
    <s v="L2"/>
    <s v="Vizag"/>
    <n v="80000"/>
    <n v="12000"/>
    <n v="92000"/>
    <n v="140000"/>
    <n v="-0.34285714285714286"/>
    <n v="0.13043478260869565"/>
  </r>
  <r>
    <n v="92"/>
    <x v="90"/>
    <x v="0"/>
    <s v="Intern"/>
    <s v="L1"/>
    <s v="Hyderabad"/>
    <n v="75000"/>
    <n v="15000"/>
    <n v="90000"/>
    <n v="182500"/>
    <n v="-0.50684931506849318"/>
    <n v="0.16666666666666666"/>
  </r>
  <r>
    <n v="93"/>
    <x v="91"/>
    <x v="4"/>
    <s v="Manager"/>
    <s v="L5"/>
    <s v="Bangalore"/>
    <n v="90000"/>
    <n v="15000"/>
    <n v="105000"/>
    <n v="150000"/>
    <n v="-0.3"/>
    <n v="0.14285714285714285"/>
  </r>
  <r>
    <n v="94"/>
    <x v="92"/>
    <x v="1"/>
    <s v="Manager"/>
    <s v="L6"/>
    <s v="Delhi"/>
    <n v="90000"/>
    <n v="19000"/>
    <n v="109000"/>
    <n v="220000"/>
    <n v="-0.50454545454545452"/>
    <n v="0.1743119266055046"/>
  </r>
  <r>
    <n v="95"/>
    <x v="93"/>
    <x v="0"/>
    <s v="Director"/>
    <s v="L4"/>
    <s v="Delhi"/>
    <n v="80000"/>
    <n v="14000"/>
    <n v="94000"/>
    <n v="750000"/>
    <n v="-0.8746666666666667"/>
    <n v="0.14893617021276595"/>
  </r>
  <r>
    <n v="96"/>
    <x v="94"/>
    <x v="1"/>
    <s v="Director"/>
    <s v="L6"/>
    <s v="Hyderabad"/>
    <n v="55000"/>
    <n v="12000"/>
    <n v="67000"/>
    <n v="160000"/>
    <n v="-0.58125000000000004"/>
    <n v="0.17910447761194029"/>
  </r>
  <r>
    <n v="97"/>
    <x v="95"/>
    <x v="4"/>
    <s v="Intern"/>
    <s v="L3"/>
    <s v="Bangalore"/>
    <n v="70000"/>
    <n v="20000"/>
    <n v="90000"/>
    <n v="135000"/>
    <n v="-0.33333333333333331"/>
    <n v="0.22222222222222221"/>
  </r>
  <r>
    <n v="98"/>
    <x v="96"/>
    <x v="0"/>
    <s v="Director"/>
    <s v="L6"/>
    <s v="Hyderabad"/>
    <n v="55000"/>
    <n v="15000"/>
    <n v="70000"/>
    <n v="220000"/>
    <n v="-0.68181818181818177"/>
    <n v="0.21428571428571427"/>
  </r>
  <r>
    <n v="99"/>
    <x v="97"/>
    <x v="2"/>
    <s v="Analyst"/>
    <s v="L4"/>
    <s v="Vizag"/>
    <n v="65000"/>
    <n v="20000"/>
    <n v="85000"/>
    <n v="160000"/>
    <n v="-0.46875"/>
    <n v="0.23529411764705882"/>
  </r>
  <r>
    <n v="100"/>
    <x v="98"/>
    <x v="2"/>
    <s v="Intern"/>
    <s v="L6"/>
    <s v="Bangalore"/>
    <n v="80000"/>
    <n v="13000"/>
    <n v="93000"/>
    <n v="750000"/>
    <n v="-0.876"/>
    <n v="0.13978494623655913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1"/>
    <x v="0"/>
    <s v="Marketing"/>
    <x v="0"/>
    <s v="L4"/>
    <s v="Vizag"/>
    <n v="65000"/>
    <n v="16000"/>
    <n v="81000"/>
    <n v="200000"/>
    <n v="-0.59499999999999997"/>
    <n v="0.19753086419753085"/>
  </r>
  <r>
    <n v="2"/>
    <x v="1"/>
    <s v="Finance"/>
    <x v="1"/>
    <s v="L1"/>
    <s v="Mumbai"/>
    <n v="95000"/>
    <n v="13000"/>
    <n v="108000"/>
    <n v="200000"/>
    <n v="-0.46"/>
    <n v="0.12037037037037036"/>
  </r>
  <r>
    <n v="3"/>
    <x v="2"/>
    <s v="Marketing"/>
    <x v="2"/>
    <s v="L2"/>
    <s v="Mumbai"/>
    <n v="80000"/>
    <n v="20000"/>
    <n v="100000"/>
    <n v="200000"/>
    <n v="-0.5"/>
    <n v="0.2"/>
  </r>
  <r>
    <n v="4"/>
    <x v="3"/>
    <s v="Marketing"/>
    <x v="0"/>
    <s v="L4"/>
    <s v="Vizag"/>
    <n v="65000"/>
    <n v="12000"/>
    <n v="77000"/>
    <n v="200000"/>
    <n v="-0.61499999999999999"/>
    <n v="0.15584415584415584"/>
  </r>
  <r>
    <n v="5"/>
    <x v="4"/>
    <s v="Marketing"/>
    <x v="0"/>
    <s v="L5"/>
    <s v="Hyderabad"/>
    <n v="100000"/>
    <n v="15000"/>
    <n v="115000"/>
    <n v="135000"/>
    <n v="-0.14814814814814814"/>
    <n v="0.13043478260869565"/>
  </r>
  <r>
    <n v="6"/>
    <x v="5"/>
    <s v="HR"/>
    <x v="0"/>
    <s v="L3"/>
    <s v="Hyderabad"/>
    <n v="55000"/>
    <n v="12000"/>
    <n v="67000"/>
    <n v="150000"/>
    <n v="-0.55333333333333334"/>
    <n v="0.17910447761194029"/>
  </r>
  <r>
    <n v="7"/>
    <x v="6"/>
    <s v="Marketing"/>
    <x v="0"/>
    <s v="L3"/>
    <s v="Hyderabad"/>
    <n v="90000"/>
    <n v="12000"/>
    <n v="102000"/>
    <n v="150000"/>
    <n v="-0.32"/>
    <n v="0.11764705882352941"/>
  </r>
  <r>
    <n v="8"/>
    <x v="7"/>
    <s v="IT"/>
    <x v="3"/>
    <s v="L1"/>
    <s v="Delhi"/>
    <n v="80000"/>
    <n v="10000"/>
    <n v="90000"/>
    <n v="135000"/>
    <n v="-0.33333333333333331"/>
    <n v="0.1111111111111111"/>
  </r>
  <r>
    <n v="9"/>
    <x v="8"/>
    <s v="Marketing"/>
    <x v="3"/>
    <s v="L5"/>
    <s v="Bangalore"/>
    <n v="65000"/>
    <n v="14000"/>
    <n v="79000"/>
    <n v="135000"/>
    <n v="-0.4148148148148148"/>
    <n v="0.17721518987341772"/>
  </r>
  <r>
    <n v="10"/>
    <x v="9"/>
    <s v="IT"/>
    <x v="3"/>
    <s v="L3"/>
    <s v="Mumbai"/>
    <n v="90000"/>
    <n v="11000"/>
    <n v="101000"/>
    <n v="160000"/>
    <n v="-0.36875000000000002"/>
    <n v="0.10891089108910891"/>
  </r>
  <r>
    <n v="11"/>
    <x v="10"/>
    <s v="Marketing"/>
    <x v="0"/>
    <s v="L4"/>
    <s v="Mumbai"/>
    <n v="55000"/>
    <n v="15000"/>
    <n v="70000"/>
    <n v="140000"/>
    <n v="-0.5"/>
    <n v="0.21428571428571427"/>
  </r>
  <r>
    <n v="12"/>
    <x v="11"/>
    <s v="HR"/>
    <x v="3"/>
    <s v="L5"/>
    <s v="Bangalore"/>
    <n v="80000"/>
    <n v="18000"/>
    <n v="98000"/>
    <n v="150000"/>
    <n v="-0.34666666666666668"/>
    <n v="0.18367346938775511"/>
  </r>
  <r>
    <n v="13"/>
    <x v="12"/>
    <s v="Sales"/>
    <x v="4"/>
    <s v="L6"/>
    <s v="Bangalore"/>
    <n v="50000"/>
    <n v="12000"/>
    <n v="62000"/>
    <n v="220000"/>
    <n v="-0.71818181818181814"/>
    <n v="0.19354838709677419"/>
  </r>
  <r>
    <n v="14"/>
    <x v="13"/>
    <s v="Sales"/>
    <x v="2"/>
    <s v="L3"/>
    <s v="Delhi"/>
    <n v="100000"/>
    <n v="18000"/>
    <n v="118000"/>
    <n v="120000"/>
    <n v="-1.6666666666666666E-2"/>
    <n v="0.15254237288135594"/>
  </r>
  <r>
    <n v="15"/>
    <x v="14"/>
    <s v="Finance"/>
    <x v="1"/>
    <s v="L5"/>
    <s v="Mumbai"/>
    <n v="75000"/>
    <n v="15000"/>
    <n v="90000"/>
    <n v="120000"/>
    <n v="-0.25"/>
    <n v="0.16666666666666666"/>
  </r>
  <r>
    <n v="16"/>
    <x v="15"/>
    <s v="IT"/>
    <x v="4"/>
    <s v="L2"/>
    <s v="Vizag"/>
    <n v="65000"/>
    <n v="12000"/>
    <n v="77000"/>
    <n v="160000"/>
    <n v="-0.51875000000000004"/>
    <n v="0.15584415584415584"/>
  </r>
  <r>
    <n v="17"/>
    <x v="16"/>
    <s v="HR"/>
    <x v="3"/>
    <s v="L1"/>
    <s v="Delhi"/>
    <n v="95000"/>
    <n v="12000"/>
    <n v="107000"/>
    <n v="182500"/>
    <n v="-0.41369863013698632"/>
    <n v="0.11214953271028037"/>
  </r>
  <r>
    <n v="18"/>
    <x v="17"/>
    <s v="Marketing"/>
    <x v="4"/>
    <s v="L5"/>
    <s v="Mumbai"/>
    <n v="50000"/>
    <n v="10000"/>
    <n v="60000"/>
    <n v="120000"/>
    <n v="-0.5"/>
    <n v="0.16666666666666666"/>
  </r>
  <r>
    <n v="19"/>
    <x v="18"/>
    <s v="HR"/>
    <x v="3"/>
    <s v="L5"/>
    <s v="Hyderabad"/>
    <n v="65000"/>
    <n v="12000"/>
    <n v="77000"/>
    <n v="182500"/>
    <n v="-0.57808219178082187"/>
    <n v="0.15584415584415584"/>
  </r>
  <r>
    <n v="20"/>
    <x v="19"/>
    <s v="IT"/>
    <x v="3"/>
    <s v="L5"/>
    <s v="Hyderabad"/>
    <n v="80000"/>
    <n v="12000"/>
    <n v="92000"/>
    <n v="100000"/>
    <n v="-0.08"/>
    <n v="0.13043478260869565"/>
  </r>
  <r>
    <n v="21"/>
    <x v="20"/>
    <s v="Sales"/>
    <x v="0"/>
    <s v="L6"/>
    <s v="Vizag"/>
    <n v="75000"/>
    <n v="12000"/>
    <n v="87000"/>
    <n v="120000"/>
    <n v="-0.27500000000000002"/>
    <n v="0.13793103448275862"/>
  </r>
  <r>
    <n v="22"/>
    <x v="21"/>
    <s v="Marketing"/>
    <x v="1"/>
    <s v="L2"/>
    <s v="Bangalore"/>
    <n v="95000"/>
    <n v="13000"/>
    <n v="108000"/>
    <n v="200000"/>
    <n v="-0.46"/>
    <n v="0.12037037037037036"/>
  </r>
  <r>
    <n v="23"/>
    <x v="22"/>
    <s v="IT"/>
    <x v="3"/>
    <s v="L2"/>
    <s v="Mumbai"/>
    <n v="65000"/>
    <n v="14000"/>
    <n v="79000"/>
    <n v="160000"/>
    <n v="-0.50624999999999998"/>
    <n v="0.17721518987341772"/>
  </r>
  <r>
    <n v="24"/>
    <x v="23"/>
    <s v="HR"/>
    <x v="3"/>
    <s v="L1"/>
    <s v="Hyderabad"/>
    <n v="80000"/>
    <n v="15000"/>
    <n v="95000"/>
    <n v="140000"/>
    <n v="-0.32142857142857145"/>
    <n v="0.15789473684210525"/>
  </r>
  <r>
    <n v="25"/>
    <x v="24"/>
    <s v="Marketing"/>
    <x v="3"/>
    <s v="L3"/>
    <s v="Vizag"/>
    <n v="50000"/>
    <n v="15000"/>
    <n v="65000"/>
    <n v="150000"/>
    <n v="-0.56666666666666665"/>
    <n v="0.23076923076923078"/>
  </r>
  <r>
    <n v="26"/>
    <x v="25"/>
    <s v="Finance"/>
    <x v="2"/>
    <s v="L6"/>
    <s v="Mumbai"/>
    <n v="100000"/>
    <n v="18000"/>
    <n v="118000"/>
    <n v="150000"/>
    <n v="-0.21333333333333335"/>
    <n v="0.15254237288135594"/>
  </r>
  <r>
    <n v="27"/>
    <x v="26"/>
    <s v="HR"/>
    <x v="1"/>
    <s v="L6"/>
    <s v="Vizag"/>
    <n v="90000"/>
    <n v="15000"/>
    <n v="105000"/>
    <n v="150000"/>
    <n v="-0.3"/>
    <n v="0.14285714285714285"/>
  </r>
  <r>
    <n v="28"/>
    <x v="27"/>
    <s v="IT"/>
    <x v="1"/>
    <s v="L4"/>
    <s v="Delhi"/>
    <n v="80000"/>
    <n v="12000"/>
    <n v="92000"/>
    <n v="140000"/>
    <n v="-0.34285714285714286"/>
    <n v="0.13043478260869565"/>
  </r>
  <r>
    <n v="29"/>
    <x v="28"/>
    <s v="Marketing"/>
    <x v="4"/>
    <s v="L6"/>
    <s v="Delhi"/>
    <n v="65000"/>
    <n v="16000"/>
    <n v="81000"/>
    <n v="220000"/>
    <n v="-0.63181818181818183"/>
    <n v="0.19753086419753085"/>
  </r>
  <r>
    <n v="30"/>
    <x v="29"/>
    <s v="Marketing"/>
    <x v="2"/>
    <s v="L1"/>
    <s v="Delhi"/>
    <n v="65000"/>
    <n v="12000"/>
    <n v="77000"/>
    <n v="160000"/>
    <n v="-0.51875000000000004"/>
    <n v="0.15584415584415584"/>
  </r>
  <r>
    <n v="31"/>
    <x v="30"/>
    <s v="Marketing"/>
    <x v="2"/>
    <s v="L2"/>
    <s v="Bangalore"/>
    <n v="80000"/>
    <n v="20000"/>
    <n v="100000"/>
    <n v="200000"/>
    <n v="-0.5"/>
    <n v="0.2"/>
  </r>
  <r>
    <n v="32"/>
    <x v="31"/>
    <s v="Marketing"/>
    <x v="0"/>
    <s v="L2"/>
    <s v="Delhi"/>
    <n v="65000"/>
    <n v="15000"/>
    <n v="80000"/>
    <n v="200000"/>
    <n v="-0.6"/>
    <n v="0.1875"/>
  </r>
  <r>
    <n v="33"/>
    <x v="32"/>
    <s v="HR"/>
    <x v="1"/>
    <s v="L2"/>
    <s v="Vizag"/>
    <n v="80000"/>
    <n v="20000"/>
    <n v="100000"/>
    <n v="120000"/>
    <n v="-0.16666666666666666"/>
    <n v="0.2"/>
  </r>
  <r>
    <n v="34"/>
    <x v="33"/>
    <s v="IT"/>
    <x v="3"/>
    <s v="L5"/>
    <s v="Hyderabad"/>
    <n v="65000"/>
    <n v="20000"/>
    <n v="85000"/>
    <n v="100000"/>
    <n v="-0.15"/>
    <n v="0.23529411764705882"/>
  </r>
  <r>
    <n v="35"/>
    <x v="34"/>
    <s v="Sales"/>
    <x v="3"/>
    <s v="L4"/>
    <s v="Bangalore"/>
    <n v="65000"/>
    <n v="17000"/>
    <n v="82000"/>
    <n v="182500"/>
    <n v="-0.55068493150684927"/>
    <n v="0.2073170731707317"/>
  </r>
  <r>
    <n v="36"/>
    <x v="35"/>
    <s v="Marketing"/>
    <x v="0"/>
    <s v="L6"/>
    <s v="Vizag"/>
    <n v="95000"/>
    <n v="12000"/>
    <n v="107000"/>
    <n v="160000"/>
    <n v="-0.33124999999999999"/>
    <n v="0.11214953271028037"/>
  </r>
  <r>
    <n v="37"/>
    <x v="36"/>
    <s v="HR"/>
    <x v="2"/>
    <s v="L3"/>
    <s v="Hyderabad"/>
    <n v="50000"/>
    <n v="15000"/>
    <n v="65000"/>
    <n v="100000"/>
    <n v="-0.35"/>
    <n v="0.23076923076923078"/>
  </r>
  <r>
    <n v="38"/>
    <x v="37"/>
    <s v="Finance"/>
    <x v="4"/>
    <s v="L1"/>
    <s v="Mumbai"/>
    <n v="65000"/>
    <n v="12000"/>
    <n v="77000"/>
    <n v="220000"/>
    <n v="-0.65"/>
    <n v="0.15584415584415584"/>
  </r>
  <r>
    <n v="39"/>
    <x v="38"/>
    <s v="HR"/>
    <x v="0"/>
    <s v="L1"/>
    <s v="Hyderabad"/>
    <n v="65000"/>
    <n v="14000"/>
    <n v="79000"/>
    <n v="220000"/>
    <n v="-0.64090909090909087"/>
    <n v="0.17721518987341772"/>
  </r>
  <r>
    <n v="40"/>
    <x v="39"/>
    <s v="Marketing"/>
    <x v="0"/>
    <s v="L6"/>
    <s v="Bangalore"/>
    <n v="65000"/>
    <n v="12000"/>
    <n v="77000"/>
    <n v="182500"/>
    <n v="-0.57808219178082187"/>
    <n v="0.15584415584415584"/>
  </r>
  <r>
    <n v="41"/>
    <x v="40"/>
    <s v="Sales"/>
    <x v="2"/>
    <s v="L2"/>
    <s v="Mumbai"/>
    <n v="80000"/>
    <n v="16000"/>
    <n v="96000"/>
    <n v="220000"/>
    <n v="-0.5636363636363636"/>
    <n v="0.16666666666666666"/>
  </r>
  <r>
    <n v="42"/>
    <x v="41"/>
    <s v="Marketing"/>
    <x v="4"/>
    <s v="L6"/>
    <s v="Vizag"/>
    <n v="85000"/>
    <n v="15000"/>
    <n v="100000"/>
    <n v="135000"/>
    <n v="-0.25925925925925924"/>
    <n v="0.15"/>
  </r>
  <r>
    <n v="43"/>
    <x v="42"/>
    <s v="Marketing"/>
    <x v="1"/>
    <s v="L2"/>
    <s v="Delhi"/>
    <n v="85000"/>
    <n v="20000"/>
    <n v="105000"/>
    <n v="120000"/>
    <n v="-0.125"/>
    <n v="0.19047619047619047"/>
  </r>
  <r>
    <n v="44"/>
    <x v="43"/>
    <s v="Marketing"/>
    <x v="1"/>
    <s v="L3"/>
    <s v="Mumbai"/>
    <n v="100000"/>
    <n v="11000"/>
    <n v="111000"/>
    <n v="150000"/>
    <n v="-0.26"/>
    <n v="9.90990990990991E-2"/>
  </r>
  <r>
    <n v="45"/>
    <x v="44"/>
    <s v="IT"/>
    <x v="2"/>
    <s v="L6"/>
    <s v="Hyderabad"/>
    <n v="95000"/>
    <n v="12000"/>
    <n v="107000"/>
    <n v="750000"/>
    <n v="-0.85733333333333328"/>
    <n v="0.11214953271028037"/>
  </r>
  <r>
    <n v="46"/>
    <x v="45"/>
    <s v="IT"/>
    <x v="1"/>
    <s v="L4"/>
    <s v="Delhi"/>
    <n v="90000"/>
    <n v="12000"/>
    <n v="102000"/>
    <n v="100000"/>
    <n v="0.02"/>
    <n v="0.11764705882352941"/>
  </r>
  <r>
    <n v="47"/>
    <x v="46"/>
    <s v="IT"/>
    <x v="1"/>
    <s v="L6"/>
    <s v="Mumbai"/>
    <n v="75000"/>
    <n v="12000"/>
    <n v="87000"/>
    <n v="100000"/>
    <n v="-0.13"/>
    <n v="0.13793103448275862"/>
  </r>
  <r>
    <n v="48"/>
    <x v="47"/>
    <s v="Sales"/>
    <x v="2"/>
    <s v="L5"/>
    <s v="Bangalore"/>
    <n v="80000"/>
    <n v="13000"/>
    <n v="93000"/>
    <n v="140000"/>
    <n v="-0.33571428571428569"/>
    <n v="0.13978494623655913"/>
  </r>
  <r>
    <n v="49"/>
    <x v="48"/>
    <s v="HR"/>
    <x v="3"/>
    <s v="L5"/>
    <s v="Hyderabad"/>
    <n v="75000"/>
    <n v="20000"/>
    <n v="95000"/>
    <n v="750000"/>
    <n v="-0.87333333333333329"/>
    <n v="0.21052631578947367"/>
  </r>
  <r>
    <n v="50"/>
    <x v="49"/>
    <s v="IT"/>
    <x v="0"/>
    <s v="L5"/>
    <s v="Hyderabad"/>
    <n v="95000"/>
    <n v="14000"/>
    <n v="109000"/>
    <n v="140000"/>
    <n v="-0.22142857142857142"/>
    <n v="0.12844036697247707"/>
  </r>
  <r>
    <n v="51"/>
    <x v="50"/>
    <s v="Sales"/>
    <x v="2"/>
    <s v="L1"/>
    <s v="Vizag"/>
    <n v="65000"/>
    <n v="20000"/>
    <n v="85000"/>
    <n v="182500"/>
    <n v="-0.53424657534246578"/>
    <n v="0.23529411764705882"/>
  </r>
  <r>
    <n v="52"/>
    <x v="51"/>
    <s v="HR"/>
    <x v="2"/>
    <s v="L3"/>
    <s v="Delhi"/>
    <n v="80000"/>
    <n v="19000"/>
    <n v="99000"/>
    <n v="120000"/>
    <n v="-0.17499999999999999"/>
    <n v="0.19191919191919191"/>
  </r>
  <r>
    <n v="53"/>
    <x v="52"/>
    <s v="Marketing"/>
    <x v="1"/>
    <s v="L3"/>
    <s v="Vizag"/>
    <n v="75000"/>
    <n v="13000"/>
    <n v="88000"/>
    <n v="150000"/>
    <n v="-0.41333333333333333"/>
    <n v="0.14772727272727273"/>
  </r>
  <r>
    <n v="54"/>
    <x v="53"/>
    <s v="IT"/>
    <x v="4"/>
    <s v="L6"/>
    <s v="Delhi"/>
    <n v="65000"/>
    <n v="15000"/>
    <n v="80000"/>
    <n v="100000"/>
    <n v="-0.2"/>
    <n v="0.1875"/>
  </r>
  <r>
    <n v="55"/>
    <x v="54"/>
    <s v="IT"/>
    <x v="1"/>
    <s v="L2"/>
    <s v="Mumbai"/>
    <n v="80000"/>
    <n v="12000"/>
    <n v="92000"/>
    <n v="135000"/>
    <n v="-0.31851851851851853"/>
    <n v="0.13043478260869565"/>
  </r>
  <r>
    <n v="56"/>
    <x v="55"/>
    <s v="IT"/>
    <x v="0"/>
    <s v="L2"/>
    <s v="Hyderabad"/>
    <n v="90000"/>
    <n v="18000"/>
    <n v="108000"/>
    <n v="100000"/>
    <n v="0.08"/>
    <n v="0.16666666666666666"/>
  </r>
  <r>
    <n v="57"/>
    <x v="56"/>
    <s v="Finance"/>
    <x v="2"/>
    <s v="L2"/>
    <s v="Hyderabad"/>
    <n v="95000"/>
    <n v="16000"/>
    <n v="111000"/>
    <n v="182500"/>
    <n v="-0.39178082191780822"/>
    <n v="0.14414414414414414"/>
  </r>
  <r>
    <n v="58"/>
    <x v="57"/>
    <s v="Sales"/>
    <x v="3"/>
    <s v="L4"/>
    <s v="Bangalore"/>
    <n v="85000"/>
    <n v="15000"/>
    <n v="100000"/>
    <n v="160000"/>
    <n v="-0.375"/>
    <n v="0.15"/>
  </r>
  <r>
    <n v="59"/>
    <x v="58"/>
    <s v="IT"/>
    <x v="4"/>
    <s v="L1"/>
    <s v="Bangalore"/>
    <n v="65000"/>
    <n v="19000"/>
    <n v="84000"/>
    <n v="135000"/>
    <n v="-0.37777777777777777"/>
    <n v="0.22619047619047619"/>
  </r>
  <r>
    <n v="60"/>
    <x v="59"/>
    <s v="HR"/>
    <x v="1"/>
    <s v="L6"/>
    <s v="Mumbai"/>
    <n v="80000"/>
    <n v="20000"/>
    <n v="100000"/>
    <n v="220000"/>
    <n v="-0.54545454545454541"/>
    <n v="0.2"/>
  </r>
  <r>
    <n v="61"/>
    <x v="60"/>
    <s v="Marketing"/>
    <x v="1"/>
    <s v="L4"/>
    <s v="Hyderabad"/>
    <n v="55000"/>
    <n v="12000"/>
    <n v="67000"/>
    <n v="150000"/>
    <n v="-0.55333333333333334"/>
    <n v="0.17910447761194029"/>
  </r>
  <r>
    <n v="62"/>
    <x v="61"/>
    <s v="HR"/>
    <x v="4"/>
    <s v="L4"/>
    <s v="Mumbai"/>
    <n v="80000"/>
    <n v="12000"/>
    <n v="92000"/>
    <n v="135000"/>
    <n v="-0.31851851851851853"/>
    <n v="0.13043478260869565"/>
  </r>
  <r>
    <n v="63"/>
    <x v="62"/>
    <s v="HR"/>
    <x v="2"/>
    <s v="L2"/>
    <s v="Vizag"/>
    <n v="50000"/>
    <n v="15000"/>
    <n v="65000"/>
    <n v="160000"/>
    <n v="-0.59375"/>
    <n v="0.23076923076923078"/>
  </r>
  <r>
    <n v="64"/>
    <x v="63"/>
    <s v="Finance"/>
    <x v="4"/>
    <s v="L6"/>
    <s v="Delhi"/>
    <n v="80000"/>
    <n v="13000"/>
    <n v="93000"/>
    <n v="100000"/>
    <n v="-7.0000000000000007E-2"/>
    <n v="0.13978494623655913"/>
  </r>
  <r>
    <n v="65"/>
    <x v="64"/>
    <s v="Marketing"/>
    <x v="4"/>
    <s v="L5"/>
    <s v="Hyderabad"/>
    <n v="65000"/>
    <n v="12000"/>
    <n v="77000"/>
    <n v="160000"/>
    <n v="-0.51875000000000004"/>
    <n v="0.15584415584415584"/>
  </r>
  <r>
    <n v="66"/>
    <x v="64"/>
    <s v="Marketing"/>
    <x v="4"/>
    <s v="L6"/>
    <s v="Bangalore"/>
    <n v="65000"/>
    <n v="19000"/>
    <n v="84000"/>
    <n v="140000"/>
    <n v="-0.4"/>
    <n v="0.22619047619047619"/>
  </r>
  <r>
    <n v="67"/>
    <x v="65"/>
    <s v="Marketing"/>
    <x v="1"/>
    <s v="L3"/>
    <s v="Delhi"/>
    <n v="85000"/>
    <n v="15000"/>
    <n v="100000"/>
    <n v="120000"/>
    <n v="-0.16666666666666666"/>
    <n v="0.15"/>
  </r>
  <r>
    <n v="68"/>
    <x v="66"/>
    <s v="Sales"/>
    <x v="1"/>
    <s v="L3"/>
    <s v="Hyderabad"/>
    <n v="80000"/>
    <n v="12000"/>
    <n v="92000"/>
    <n v="120000"/>
    <n v="-0.23333333333333334"/>
    <n v="0.13043478260869565"/>
  </r>
  <r>
    <n v="69"/>
    <x v="67"/>
    <s v="Marketing"/>
    <x v="4"/>
    <s v="L6"/>
    <s v="Hyderabad"/>
    <n v="70000"/>
    <n v="18000"/>
    <n v="88000"/>
    <n v="120000"/>
    <n v="-0.26666666666666666"/>
    <n v="0.20454545454545456"/>
  </r>
  <r>
    <n v="70"/>
    <x v="68"/>
    <s v="Sales"/>
    <x v="3"/>
    <s v="L4"/>
    <s v="Vizag"/>
    <n v="65000"/>
    <n v="18000"/>
    <n v="83000"/>
    <n v="120000"/>
    <n v="-0.30833333333333335"/>
    <n v="0.21686746987951808"/>
  </r>
  <r>
    <n v="71"/>
    <x v="69"/>
    <s v="HR"/>
    <x v="3"/>
    <s v="L3"/>
    <s v="Mumbai"/>
    <n v="85000"/>
    <n v="16000"/>
    <n v="101000"/>
    <n v="120000"/>
    <n v="-0.15833333333333333"/>
    <n v="0.15841584158415842"/>
  </r>
  <r>
    <n v="72"/>
    <x v="70"/>
    <s v="Finance"/>
    <x v="1"/>
    <s v="L3"/>
    <s v="Hyderabad"/>
    <n v="55000"/>
    <n v="20000"/>
    <n v="75000"/>
    <n v="200000"/>
    <n v="-0.625"/>
    <n v="0.26666666666666666"/>
  </r>
  <r>
    <n v="73"/>
    <x v="71"/>
    <s v="Marketing"/>
    <x v="2"/>
    <s v="L2"/>
    <s v="Hyderabad"/>
    <n v="70000"/>
    <n v="15000"/>
    <n v="85000"/>
    <n v="150000"/>
    <n v="-0.43333333333333335"/>
    <n v="0.17647058823529413"/>
  </r>
  <r>
    <n v="74"/>
    <x v="72"/>
    <s v="HR"/>
    <x v="1"/>
    <s v="L2"/>
    <s v="Hyderabad"/>
    <n v="95000"/>
    <n v="18000"/>
    <n v="113000"/>
    <n v="150000"/>
    <n v="-0.24666666666666667"/>
    <n v="0.15929203539823009"/>
  </r>
  <r>
    <n v="75"/>
    <x v="73"/>
    <s v="Finance"/>
    <x v="3"/>
    <s v="L5"/>
    <s v="Bangalore"/>
    <n v="80000"/>
    <n v="19000"/>
    <n v="99000"/>
    <n v="140000"/>
    <n v="-0.29285714285714287"/>
    <n v="0.19191919191919191"/>
  </r>
  <r>
    <n v="76"/>
    <x v="74"/>
    <s v="IT"/>
    <x v="4"/>
    <s v="L3"/>
    <s v="Vizag"/>
    <n v="80000"/>
    <n v="17000"/>
    <n v="97000"/>
    <n v="182500"/>
    <n v="-0.46849315068493153"/>
    <n v="0.17525773195876287"/>
  </r>
  <r>
    <n v="77"/>
    <x v="75"/>
    <s v="Finance"/>
    <x v="4"/>
    <s v="L4"/>
    <s v="Vizag"/>
    <n v="80000"/>
    <n v="12000"/>
    <n v="92000"/>
    <n v="100000"/>
    <n v="-0.08"/>
    <n v="0.13043478260869565"/>
  </r>
  <r>
    <n v="78"/>
    <x v="76"/>
    <s v="Sales"/>
    <x v="0"/>
    <s v="L1"/>
    <s v="Mumbai"/>
    <n v="90000"/>
    <n v="12000"/>
    <n v="102000"/>
    <n v="140000"/>
    <n v="-0.27142857142857141"/>
    <n v="0.11764705882352941"/>
  </r>
  <r>
    <n v="79"/>
    <x v="77"/>
    <s v="HR"/>
    <x v="3"/>
    <s v="L2"/>
    <s v="Mumbai"/>
    <n v="80000"/>
    <n v="20000"/>
    <n v="100000"/>
    <n v="220000"/>
    <n v="-0.54545454545454541"/>
    <n v="0.2"/>
  </r>
  <r>
    <n v="80"/>
    <x v="78"/>
    <s v="Sales"/>
    <x v="3"/>
    <s v="L5"/>
    <s v="Bangalore"/>
    <n v="80000"/>
    <n v="17000"/>
    <n v="97000"/>
    <n v="160000"/>
    <n v="-0.39374999999999999"/>
    <n v="0.17525773195876287"/>
  </r>
  <r>
    <n v="81"/>
    <x v="79"/>
    <s v="HR"/>
    <x v="4"/>
    <s v="L5"/>
    <s v="Mumbai"/>
    <n v="85000"/>
    <n v="12000"/>
    <n v="97000"/>
    <n v="750000"/>
    <n v="-0.8706666666666667"/>
    <n v="0.12371134020618557"/>
  </r>
  <r>
    <n v="82"/>
    <x v="80"/>
    <s v="Finance"/>
    <x v="1"/>
    <s v="L2"/>
    <s v="Bangalore"/>
    <n v="80000"/>
    <n v="12000"/>
    <n v="92000"/>
    <n v="140000"/>
    <n v="-0.34285714285714286"/>
    <n v="0.13043478260869565"/>
  </r>
  <r>
    <n v="83"/>
    <x v="81"/>
    <s v="Marketing"/>
    <x v="2"/>
    <s v="L4"/>
    <s v="Delhi"/>
    <n v="55000"/>
    <n v="19000"/>
    <n v="74000"/>
    <n v="120000"/>
    <n v="-0.38333333333333336"/>
    <n v="0.25675675675675674"/>
  </r>
  <r>
    <n v="84"/>
    <x v="82"/>
    <s v="IT"/>
    <x v="2"/>
    <s v="L5"/>
    <s v="Mumbai"/>
    <n v="95000"/>
    <n v="15000"/>
    <n v="110000"/>
    <n v="140000"/>
    <n v="-0.21428571428571427"/>
    <n v="0.13636363636363635"/>
  </r>
  <r>
    <n v="85"/>
    <x v="83"/>
    <s v="HR"/>
    <x v="0"/>
    <s v="L5"/>
    <s v="Hyderabad"/>
    <n v="80000"/>
    <n v="10000"/>
    <n v="90000"/>
    <n v="150000"/>
    <n v="-0.4"/>
    <n v="0.1111111111111111"/>
  </r>
  <r>
    <n v="86"/>
    <x v="84"/>
    <s v="Sales"/>
    <x v="2"/>
    <s v="L6"/>
    <s v="Delhi"/>
    <n v="50000"/>
    <n v="14000"/>
    <n v="64000"/>
    <n v="750000"/>
    <n v="-0.91466666666666663"/>
    <n v="0.21875"/>
  </r>
  <r>
    <n v="87"/>
    <x v="85"/>
    <s v="Marketing"/>
    <x v="2"/>
    <s v="L2"/>
    <s v="Delhi"/>
    <n v="90000"/>
    <n v="14000"/>
    <n v="104000"/>
    <n v="750000"/>
    <n v="-0.86133333333333328"/>
    <n v="0.13461538461538461"/>
  </r>
  <r>
    <n v="88"/>
    <x v="86"/>
    <s v="Finance"/>
    <x v="0"/>
    <s v="L5"/>
    <s v="Hyderabad"/>
    <n v="55000"/>
    <n v="19000"/>
    <n v="74000"/>
    <n v="120000"/>
    <n v="-0.38333333333333336"/>
    <n v="0.25675675675675674"/>
  </r>
  <r>
    <n v="89"/>
    <x v="87"/>
    <s v="Marketing"/>
    <x v="2"/>
    <s v="L1"/>
    <s v="Mumbai"/>
    <n v="65000"/>
    <n v="12000"/>
    <n v="77000"/>
    <n v="182500"/>
    <n v="-0.57808219178082187"/>
    <n v="0.15584415584415584"/>
  </r>
  <r>
    <n v="90"/>
    <x v="88"/>
    <s v="Marketing"/>
    <x v="4"/>
    <s v="L6"/>
    <s v="Vizag"/>
    <n v="70000"/>
    <n v="12000"/>
    <n v="82000"/>
    <n v="750000"/>
    <n v="-0.89066666666666672"/>
    <n v="0.14634146341463414"/>
  </r>
  <r>
    <n v="91"/>
    <x v="89"/>
    <s v="HR"/>
    <x v="0"/>
    <s v="L2"/>
    <s v="Vizag"/>
    <n v="80000"/>
    <n v="12000"/>
    <n v="92000"/>
    <n v="140000"/>
    <n v="-0.34285714285714286"/>
    <n v="0.13043478260869565"/>
  </r>
  <r>
    <n v="92"/>
    <x v="90"/>
    <s v="Marketing"/>
    <x v="4"/>
    <s v="L1"/>
    <s v="Hyderabad"/>
    <n v="75000"/>
    <n v="15000"/>
    <n v="90000"/>
    <n v="182500"/>
    <n v="-0.50684931506849318"/>
    <n v="0.16666666666666666"/>
  </r>
  <r>
    <n v="93"/>
    <x v="91"/>
    <s v="Sales"/>
    <x v="1"/>
    <s v="L5"/>
    <s v="Bangalore"/>
    <n v="90000"/>
    <n v="15000"/>
    <n v="105000"/>
    <n v="150000"/>
    <n v="-0.3"/>
    <n v="0.14285714285714285"/>
  </r>
  <r>
    <n v="94"/>
    <x v="92"/>
    <s v="Finance"/>
    <x v="1"/>
    <s v="L6"/>
    <s v="Delhi"/>
    <n v="90000"/>
    <n v="19000"/>
    <n v="109000"/>
    <n v="220000"/>
    <n v="-0.50454545454545452"/>
    <n v="0.1743119266055046"/>
  </r>
  <r>
    <n v="95"/>
    <x v="93"/>
    <s v="Marketing"/>
    <x v="0"/>
    <s v="L4"/>
    <s v="Delhi"/>
    <n v="80000"/>
    <n v="14000"/>
    <n v="94000"/>
    <n v="750000"/>
    <n v="-0.8746666666666667"/>
    <n v="0.14893617021276595"/>
  </r>
  <r>
    <n v="96"/>
    <x v="94"/>
    <s v="Finance"/>
    <x v="0"/>
    <s v="L6"/>
    <s v="Hyderabad"/>
    <n v="55000"/>
    <n v="12000"/>
    <n v="67000"/>
    <n v="160000"/>
    <n v="-0.58125000000000004"/>
    <n v="0.17910447761194029"/>
  </r>
  <r>
    <n v="97"/>
    <x v="95"/>
    <s v="Sales"/>
    <x v="4"/>
    <s v="L3"/>
    <s v="Bangalore"/>
    <n v="70000"/>
    <n v="20000"/>
    <n v="90000"/>
    <n v="135000"/>
    <n v="-0.33333333333333331"/>
    <n v="0.22222222222222221"/>
  </r>
  <r>
    <n v="98"/>
    <x v="96"/>
    <s v="Marketing"/>
    <x v="0"/>
    <s v="L6"/>
    <s v="Hyderabad"/>
    <n v="55000"/>
    <n v="15000"/>
    <n v="70000"/>
    <n v="220000"/>
    <n v="-0.68181818181818177"/>
    <n v="0.21428571428571427"/>
  </r>
  <r>
    <n v="99"/>
    <x v="97"/>
    <s v="HR"/>
    <x v="2"/>
    <s v="L4"/>
    <s v="Vizag"/>
    <n v="65000"/>
    <n v="20000"/>
    <n v="85000"/>
    <n v="160000"/>
    <n v="-0.46875"/>
    <n v="0.23529411764705882"/>
  </r>
  <r>
    <n v="100"/>
    <x v="98"/>
    <s v="HR"/>
    <x v="4"/>
    <s v="L6"/>
    <s v="Bangalore"/>
    <n v="80000"/>
    <n v="13000"/>
    <n v="93000"/>
    <n v="750000"/>
    <n v="-0.876"/>
    <n v="0.13978494623655913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count="100">
  <r>
    <n v="1"/>
    <x v="0"/>
    <x v="0"/>
    <x v="0"/>
    <x v="0"/>
    <x v="0"/>
    <n v="65000"/>
    <n v="16000"/>
    <x v="0"/>
    <n v="200000"/>
    <n v="-0.595"/>
    <n v="0.197530864197531"/>
    <n v="0.802469135802469"/>
    <n v="-119000"/>
  </r>
  <r>
    <n v="2"/>
    <x v="1"/>
    <x v="1"/>
    <x v="1"/>
    <x v="1"/>
    <x v="1"/>
    <n v="95000"/>
    <n v="13000"/>
    <x v="1"/>
    <n v="200000"/>
    <n v="-0.46"/>
    <n v="0.12037037037037"/>
    <n v="0.87962962962963"/>
    <n v="-92000"/>
  </r>
  <r>
    <n v="3"/>
    <x v="2"/>
    <x v="0"/>
    <x v="2"/>
    <x v="2"/>
    <x v="1"/>
    <n v="80000"/>
    <n v="20000"/>
    <x v="2"/>
    <n v="200000"/>
    <n v="-0.5"/>
    <n v="0.2"/>
    <n v="0.8"/>
    <n v="-100000"/>
  </r>
  <r>
    <n v="4"/>
    <x v="3"/>
    <x v="0"/>
    <x v="0"/>
    <x v="0"/>
    <x v="0"/>
    <n v="65000"/>
    <n v="12000"/>
    <x v="3"/>
    <n v="200000"/>
    <n v="-0.615"/>
    <n v="0.155844155844156"/>
    <n v="0.844155844155844"/>
    <n v="-123000"/>
  </r>
  <r>
    <n v="5"/>
    <x v="4"/>
    <x v="0"/>
    <x v="0"/>
    <x v="3"/>
    <x v="2"/>
    <n v="100000"/>
    <n v="15000"/>
    <x v="4"/>
    <n v="135000"/>
    <n v="-0.148148148148148"/>
    <n v="0.130434782608696"/>
    <n v="0.869565217391304"/>
    <n v="-20000"/>
  </r>
  <r>
    <n v="6"/>
    <x v="5"/>
    <x v="2"/>
    <x v="0"/>
    <x v="4"/>
    <x v="2"/>
    <n v="55000"/>
    <n v="12000"/>
    <x v="5"/>
    <n v="150000"/>
    <n v="-0.553333333333333"/>
    <n v="0.17910447761194"/>
    <n v="0.82089552238806"/>
    <n v="-83000"/>
  </r>
  <r>
    <n v="7"/>
    <x v="6"/>
    <x v="0"/>
    <x v="0"/>
    <x v="4"/>
    <x v="2"/>
    <n v="90000"/>
    <n v="12000"/>
    <x v="6"/>
    <n v="150000"/>
    <n v="-0.32"/>
    <n v="0.117647058823529"/>
    <n v="0.882352941176471"/>
    <n v="-48000"/>
  </r>
  <r>
    <n v="8"/>
    <x v="7"/>
    <x v="3"/>
    <x v="3"/>
    <x v="1"/>
    <x v="3"/>
    <n v="80000"/>
    <n v="10000"/>
    <x v="7"/>
    <n v="135000"/>
    <n v="-0.333333333333333"/>
    <n v="0.111111111111111"/>
    <n v="0.888888888888889"/>
    <n v="-45000"/>
  </r>
  <r>
    <n v="9"/>
    <x v="8"/>
    <x v="0"/>
    <x v="3"/>
    <x v="3"/>
    <x v="4"/>
    <n v="65000"/>
    <n v="14000"/>
    <x v="8"/>
    <n v="135000"/>
    <n v="-0.414814814814815"/>
    <n v="0.177215189873418"/>
    <n v="0.822784810126582"/>
    <n v="-56000"/>
  </r>
  <r>
    <n v="10"/>
    <x v="9"/>
    <x v="3"/>
    <x v="3"/>
    <x v="4"/>
    <x v="1"/>
    <n v="90000"/>
    <n v="11000"/>
    <x v="9"/>
    <n v="160000"/>
    <n v="-0.36875"/>
    <n v="0.108910891089109"/>
    <n v="0.891089108910891"/>
    <n v="-59000"/>
  </r>
  <r>
    <n v="11"/>
    <x v="10"/>
    <x v="0"/>
    <x v="0"/>
    <x v="0"/>
    <x v="1"/>
    <n v="55000"/>
    <n v="15000"/>
    <x v="10"/>
    <n v="140000"/>
    <n v="-0.5"/>
    <n v="0.214285714285714"/>
    <n v="0.785714285714286"/>
    <n v="-70000"/>
  </r>
  <r>
    <n v="12"/>
    <x v="11"/>
    <x v="2"/>
    <x v="3"/>
    <x v="3"/>
    <x v="4"/>
    <n v="80000"/>
    <n v="18000"/>
    <x v="11"/>
    <n v="150000"/>
    <n v="-0.346666666666667"/>
    <n v="0.183673469387755"/>
    <n v="0.816326530612245"/>
    <n v="-52000"/>
  </r>
  <r>
    <n v="13"/>
    <x v="12"/>
    <x v="4"/>
    <x v="4"/>
    <x v="5"/>
    <x v="4"/>
    <n v="50000"/>
    <n v="12000"/>
    <x v="12"/>
    <n v="220000"/>
    <n v="-0.718181818181818"/>
    <n v="0.193548387096774"/>
    <n v="0.806451612903226"/>
    <n v="-158000"/>
  </r>
  <r>
    <n v="14"/>
    <x v="13"/>
    <x v="4"/>
    <x v="2"/>
    <x v="4"/>
    <x v="3"/>
    <n v="100000"/>
    <n v="18000"/>
    <x v="13"/>
    <n v="120000"/>
    <n v="-0.0166666666666667"/>
    <n v="0.152542372881356"/>
    <n v="0.847457627118644"/>
    <n v="-2000"/>
  </r>
  <r>
    <n v="15"/>
    <x v="14"/>
    <x v="1"/>
    <x v="1"/>
    <x v="3"/>
    <x v="1"/>
    <n v="75000"/>
    <n v="15000"/>
    <x v="7"/>
    <n v="120000"/>
    <n v="-0.25"/>
    <n v="0.166666666666667"/>
    <n v="0.833333333333333"/>
    <n v="-30000"/>
  </r>
  <r>
    <n v="16"/>
    <x v="15"/>
    <x v="3"/>
    <x v="4"/>
    <x v="2"/>
    <x v="0"/>
    <n v="65000"/>
    <n v="12000"/>
    <x v="3"/>
    <n v="160000"/>
    <n v="-0.51875"/>
    <n v="0.155844155844156"/>
    <n v="0.844155844155844"/>
    <n v="-83000"/>
  </r>
  <r>
    <n v="17"/>
    <x v="16"/>
    <x v="2"/>
    <x v="3"/>
    <x v="1"/>
    <x v="3"/>
    <n v="95000"/>
    <n v="12000"/>
    <x v="14"/>
    <n v="182500"/>
    <n v="-0.413698630136986"/>
    <n v="0.11214953271028"/>
    <n v="0.88785046728972"/>
    <n v="-75500"/>
  </r>
  <r>
    <n v="18"/>
    <x v="17"/>
    <x v="0"/>
    <x v="4"/>
    <x v="3"/>
    <x v="1"/>
    <n v="50000"/>
    <n v="10000"/>
    <x v="15"/>
    <n v="120000"/>
    <n v="-0.5"/>
    <n v="0.166666666666667"/>
    <n v="0.833333333333333"/>
    <n v="-60000"/>
  </r>
  <r>
    <n v="19"/>
    <x v="18"/>
    <x v="2"/>
    <x v="3"/>
    <x v="3"/>
    <x v="2"/>
    <n v="65000"/>
    <n v="12000"/>
    <x v="3"/>
    <n v="182500"/>
    <n v="-0.578082191780822"/>
    <n v="0.155844155844156"/>
    <n v="0.844155844155844"/>
    <n v="-105500"/>
  </r>
  <r>
    <n v="20"/>
    <x v="19"/>
    <x v="3"/>
    <x v="3"/>
    <x v="3"/>
    <x v="2"/>
    <n v="80000"/>
    <n v="12000"/>
    <x v="16"/>
    <n v="100000"/>
    <n v="-0.08"/>
    <n v="0.130434782608696"/>
    <n v="0.869565217391304"/>
    <n v="-8000"/>
  </r>
  <r>
    <n v="21"/>
    <x v="20"/>
    <x v="4"/>
    <x v="0"/>
    <x v="5"/>
    <x v="0"/>
    <n v="75000"/>
    <n v="12000"/>
    <x v="17"/>
    <n v="120000"/>
    <n v="-0.275"/>
    <n v="0.137931034482759"/>
    <n v="0.862068965517241"/>
    <n v="-33000"/>
  </r>
  <r>
    <n v="22"/>
    <x v="21"/>
    <x v="0"/>
    <x v="1"/>
    <x v="2"/>
    <x v="4"/>
    <n v="95000"/>
    <n v="13000"/>
    <x v="1"/>
    <n v="200000"/>
    <n v="-0.46"/>
    <n v="0.12037037037037"/>
    <n v="0.87962962962963"/>
    <n v="-92000"/>
  </r>
  <r>
    <n v="23"/>
    <x v="22"/>
    <x v="3"/>
    <x v="3"/>
    <x v="2"/>
    <x v="1"/>
    <n v="65000"/>
    <n v="14000"/>
    <x v="8"/>
    <n v="160000"/>
    <n v="-0.50625"/>
    <n v="0.177215189873418"/>
    <n v="0.822784810126582"/>
    <n v="-81000"/>
  </r>
  <r>
    <n v="24"/>
    <x v="23"/>
    <x v="2"/>
    <x v="3"/>
    <x v="1"/>
    <x v="2"/>
    <n v="80000"/>
    <n v="15000"/>
    <x v="18"/>
    <n v="140000"/>
    <n v="-0.321428571428571"/>
    <n v="0.157894736842105"/>
    <n v="0.842105263157895"/>
    <n v="-45000"/>
  </r>
  <r>
    <n v="25"/>
    <x v="24"/>
    <x v="0"/>
    <x v="3"/>
    <x v="4"/>
    <x v="0"/>
    <n v="50000"/>
    <n v="15000"/>
    <x v="19"/>
    <n v="150000"/>
    <n v="-0.566666666666667"/>
    <n v="0.230769230769231"/>
    <n v="0.769230769230769"/>
    <n v="-85000"/>
  </r>
  <r>
    <n v="26"/>
    <x v="25"/>
    <x v="1"/>
    <x v="2"/>
    <x v="5"/>
    <x v="1"/>
    <n v="100000"/>
    <n v="18000"/>
    <x v="13"/>
    <n v="150000"/>
    <n v="-0.213333333333333"/>
    <n v="0.152542372881356"/>
    <n v="0.847457627118644"/>
    <n v="-32000"/>
  </r>
  <r>
    <n v="27"/>
    <x v="26"/>
    <x v="2"/>
    <x v="1"/>
    <x v="5"/>
    <x v="0"/>
    <n v="90000"/>
    <n v="15000"/>
    <x v="20"/>
    <n v="150000"/>
    <n v="-0.3"/>
    <n v="0.142857142857143"/>
    <n v="0.857142857142857"/>
    <n v="-45000"/>
  </r>
  <r>
    <n v="28"/>
    <x v="27"/>
    <x v="3"/>
    <x v="1"/>
    <x v="0"/>
    <x v="3"/>
    <n v="80000"/>
    <n v="12000"/>
    <x v="16"/>
    <n v="140000"/>
    <n v="-0.342857142857143"/>
    <n v="0.130434782608696"/>
    <n v="0.869565217391304"/>
    <n v="-48000"/>
  </r>
  <r>
    <n v="29"/>
    <x v="28"/>
    <x v="0"/>
    <x v="4"/>
    <x v="5"/>
    <x v="3"/>
    <n v="65000"/>
    <n v="16000"/>
    <x v="0"/>
    <n v="220000"/>
    <n v="-0.631818181818182"/>
    <n v="0.197530864197531"/>
    <n v="0.802469135802469"/>
    <n v="-139000"/>
  </r>
  <r>
    <n v="30"/>
    <x v="29"/>
    <x v="0"/>
    <x v="2"/>
    <x v="1"/>
    <x v="3"/>
    <n v="65000"/>
    <n v="12000"/>
    <x v="3"/>
    <n v="160000"/>
    <n v="-0.51875"/>
    <n v="0.155844155844156"/>
    <n v="0.844155844155844"/>
    <n v="-83000"/>
  </r>
  <r>
    <n v="31"/>
    <x v="30"/>
    <x v="0"/>
    <x v="2"/>
    <x v="2"/>
    <x v="4"/>
    <n v="80000"/>
    <n v="20000"/>
    <x v="2"/>
    <n v="200000"/>
    <n v="-0.5"/>
    <n v="0.2"/>
    <n v="0.8"/>
    <n v="-100000"/>
  </r>
  <r>
    <n v="32"/>
    <x v="31"/>
    <x v="0"/>
    <x v="0"/>
    <x v="2"/>
    <x v="3"/>
    <n v="65000"/>
    <n v="15000"/>
    <x v="21"/>
    <n v="200000"/>
    <n v="-0.6"/>
    <n v="0.1875"/>
    <n v="0.8125"/>
    <n v="-120000"/>
  </r>
  <r>
    <n v="33"/>
    <x v="32"/>
    <x v="2"/>
    <x v="1"/>
    <x v="2"/>
    <x v="0"/>
    <n v="80000"/>
    <n v="20000"/>
    <x v="2"/>
    <n v="120000"/>
    <n v="-0.166666666666667"/>
    <n v="0.2"/>
    <n v="0.8"/>
    <n v="-20000"/>
  </r>
  <r>
    <n v="34"/>
    <x v="33"/>
    <x v="3"/>
    <x v="3"/>
    <x v="3"/>
    <x v="2"/>
    <n v="65000"/>
    <n v="20000"/>
    <x v="22"/>
    <n v="100000"/>
    <n v="-0.15"/>
    <n v="0.235294117647059"/>
    <n v="0.764705882352941"/>
    <n v="-15000"/>
  </r>
  <r>
    <n v="35"/>
    <x v="34"/>
    <x v="4"/>
    <x v="3"/>
    <x v="0"/>
    <x v="4"/>
    <n v="65000"/>
    <n v="17000"/>
    <x v="23"/>
    <n v="182500"/>
    <n v="-0.550684931506849"/>
    <n v="0.207317073170732"/>
    <n v="0.792682926829268"/>
    <n v="-100500"/>
  </r>
  <r>
    <n v="36"/>
    <x v="35"/>
    <x v="0"/>
    <x v="0"/>
    <x v="5"/>
    <x v="0"/>
    <n v="95000"/>
    <n v="12000"/>
    <x v="14"/>
    <n v="160000"/>
    <n v="-0.33125"/>
    <n v="0.11214953271028"/>
    <n v="0.88785046728972"/>
    <n v="-53000"/>
  </r>
  <r>
    <n v="37"/>
    <x v="36"/>
    <x v="2"/>
    <x v="2"/>
    <x v="4"/>
    <x v="2"/>
    <n v="50000"/>
    <n v="15000"/>
    <x v="19"/>
    <n v="100000"/>
    <n v="-0.35"/>
    <n v="0.230769230769231"/>
    <n v="0.769230769230769"/>
    <n v="-35000"/>
  </r>
  <r>
    <n v="38"/>
    <x v="37"/>
    <x v="1"/>
    <x v="4"/>
    <x v="1"/>
    <x v="1"/>
    <n v="65000"/>
    <n v="12000"/>
    <x v="3"/>
    <n v="220000"/>
    <n v="-0.65"/>
    <n v="0.155844155844156"/>
    <n v="0.844155844155844"/>
    <n v="-143000"/>
  </r>
  <r>
    <n v="39"/>
    <x v="38"/>
    <x v="2"/>
    <x v="0"/>
    <x v="1"/>
    <x v="2"/>
    <n v="65000"/>
    <n v="14000"/>
    <x v="8"/>
    <n v="220000"/>
    <n v="-0.640909090909091"/>
    <n v="0.177215189873418"/>
    <n v="0.822784810126582"/>
    <n v="-141000"/>
  </r>
  <r>
    <n v="40"/>
    <x v="39"/>
    <x v="0"/>
    <x v="0"/>
    <x v="5"/>
    <x v="4"/>
    <n v="65000"/>
    <n v="12000"/>
    <x v="3"/>
    <n v="182500"/>
    <n v="-0.578082191780822"/>
    <n v="0.155844155844156"/>
    <n v="0.844155844155844"/>
    <n v="-105500"/>
  </r>
  <r>
    <n v="41"/>
    <x v="40"/>
    <x v="4"/>
    <x v="2"/>
    <x v="2"/>
    <x v="1"/>
    <n v="80000"/>
    <n v="16000"/>
    <x v="24"/>
    <n v="220000"/>
    <n v="-0.563636363636364"/>
    <n v="0.166666666666667"/>
    <n v="0.833333333333333"/>
    <n v="-124000"/>
  </r>
  <r>
    <n v="42"/>
    <x v="41"/>
    <x v="0"/>
    <x v="4"/>
    <x v="5"/>
    <x v="0"/>
    <n v="85000"/>
    <n v="15000"/>
    <x v="2"/>
    <n v="135000"/>
    <n v="-0.259259259259259"/>
    <n v="0.15"/>
    <n v="0.85"/>
    <n v="-35000"/>
  </r>
  <r>
    <n v="43"/>
    <x v="42"/>
    <x v="0"/>
    <x v="1"/>
    <x v="2"/>
    <x v="3"/>
    <n v="85000"/>
    <n v="20000"/>
    <x v="20"/>
    <n v="120000"/>
    <n v="-0.125"/>
    <n v="0.19047619047619"/>
    <n v="0.80952380952381"/>
    <n v="-15000"/>
  </r>
  <r>
    <n v="44"/>
    <x v="43"/>
    <x v="0"/>
    <x v="1"/>
    <x v="4"/>
    <x v="1"/>
    <n v="100000"/>
    <n v="11000"/>
    <x v="25"/>
    <n v="150000"/>
    <n v="-0.26"/>
    <n v="0.0990990990990991"/>
    <n v="0.900900900900901"/>
    <n v="-39000"/>
  </r>
  <r>
    <n v="45"/>
    <x v="44"/>
    <x v="3"/>
    <x v="2"/>
    <x v="5"/>
    <x v="2"/>
    <n v="95000"/>
    <n v="12000"/>
    <x v="14"/>
    <n v="750000"/>
    <n v="-0.857333333333333"/>
    <n v="0.11214953271028"/>
    <n v="0.88785046728972"/>
    <n v="-643000"/>
  </r>
  <r>
    <n v="46"/>
    <x v="45"/>
    <x v="3"/>
    <x v="1"/>
    <x v="0"/>
    <x v="3"/>
    <n v="90000"/>
    <n v="12000"/>
    <x v="6"/>
    <n v="100000"/>
    <n v="0.02"/>
    <n v="0.117647058823529"/>
    <n v="0.882352941176471"/>
    <n v="2000"/>
  </r>
  <r>
    <n v="47"/>
    <x v="46"/>
    <x v="3"/>
    <x v="1"/>
    <x v="5"/>
    <x v="1"/>
    <n v="75000"/>
    <n v="12000"/>
    <x v="17"/>
    <n v="100000"/>
    <n v="-0.13"/>
    <n v="0.137931034482759"/>
    <n v="0.862068965517241"/>
    <n v="-13000"/>
  </r>
  <r>
    <n v="48"/>
    <x v="47"/>
    <x v="4"/>
    <x v="2"/>
    <x v="3"/>
    <x v="4"/>
    <n v="80000"/>
    <n v="13000"/>
    <x v="26"/>
    <n v="140000"/>
    <n v="-0.335714285714286"/>
    <n v="0.139784946236559"/>
    <n v="0.860215053763441"/>
    <n v="-47000"/>
  </r>
  <r>
    <n v="49"/>
    <x v="48"/>
    <x v="2"/>
    <x v="3"/>
    <x v="3"/>
    <x v="2"/>
    <n v="75000"/>
    <n v="20000"/>
    <x v="18"/>
    <n v="750000"/>
    <n v="-0.873333333333333"/>
    <n v="0.210526315789474"/>
    <n v="0.789473684210526"/>
    <n v="-655000"/>
  </r>
  <r>
    <n v="50"/>
    <x v="49"/>
    <x v="3"/>
    <x v="0"/>
    <x v="3"/>
    <x v="2"/>
    <n v="95000"/>
    <n v="14000"/>
    <x v="27"/>
    <n v="140000"/>
    <n v="-0.221428571428571"/>
    <n v="0.128440366972477"/>
    <n v="0.871559633027523"/>
    <n v="-31000"/>
  </r>
  <r>
    <n v="51"/>
    <x v="50"/>
    <x v="4"/>
    <x v="2"/>
    <x v="1"/>
    <x v="0"/>
    <n v="65000"/>
    <n v="20000"/>
    <x v="22"/>
    <n v="182500"/>
    <n v="-0.534246575342466"/>
    <n v="0.235294117647059"/>
    <n v="0.764705882352941"/>
    <n v="-97500"/>
  </r>
  <r>
    <n v="52"/>
    <x v="51"/>
    <x v="2"/>
    <x v="2"/>
    <x v="4"/>
    <x v="3"/>
    <n v="80000"/>
    <n v="19000"/>
    <x v="28"/>
    <n v="120000"/>
    <n v="-0.175"/>
    <n v="0.191919191919192"/>
    <n v="0.808080808080808"/>
    <n v="-21000"/>
  </r>
  <r>
    <n v="53"/>
    <x v="52"/>
    <x v="0"/>
    <x v="1"/>
    <x v="4"/>
    <x v="0"/>
    <n v="75000"/>
    <n v="13000"/>
    <x v="29"/>
    <n v="150000"/>
    <n v="-0.413333333333333"/>
    <n v="0.147727272727273"/>
    <n v="0.852272727272727"/>
    <n v="-62000"/>
  </r>
  <r>
    <n v="54"/>
    <x v="53"/>
    <x v="3"/>
    <x v="4"/>
    <x v="5"/>
    <x v="3"/>
    <n v="65000"/>
    <n v="15000"/>
    <x v="21"/>
    <n v="100000"/>
    <n v="-0.2"/>
    <n v="0.1875"/>
    <n v="0.8125"/>
    <n v="-20000"/>
  </r>
  <r>
    <n v="55"/>
    <x v="54"/>
    <x v="3"/>
    <x v="1"/>
    <x v="2"/>
    <x v="1"/>
    <n v="80000"/>
    <n v="12000"/>
    <x v="16"/>
    <n v="135000"/>
    <n v="-0.318518518518519"/>
    <n v="0.130434782608696"/>
    <n v="0.869565217391304"/>
    <n v="-43000"/>
  </r>
  <r>
    <n v="56"/>
    <x v="55"/>
    <x v="3"/>
    <x v="0"/>
    <x v="2"/>
    <x v="2"/>
    <n v="90000"/>
    <n v="18000"/>
    <x v="1"/>
    <n v="100000"/>
    <n v="0.08"/>
    <n v="0.166666666666667"/>
    <n v="0.833333333333333"/>
    <n v="8000"/>
  </r>
  <r>
    <n v="57"/>
    <x v="56"/>
    <x v="1"/>
    <x v="2"/>
    <x v="2"/>
    <x v="2"/>
    <n v="95000"/>
    <n v="16000"/>
    <x v="25"/>
    <n v="182500"/>
    <n v="-0.391780821917808"/>
    <n v="0.144144144144144"/>
    <n v="0.855855855855856"/>
    <n v="-71500"/>
  </r>
  <r>
    <n v="58"/>
    <x v="57"/>
    <x v="4"/>
    <x v="3"/>
    <x v="0"/>
    <x v="4"/>
    <n v="85000"/>
    <n v="15000"/>
    <x v="2"/>
    <n v="160000"/>
    <n v="-0.375"/>
    <n v="0.15"/>
    <n v="0.85"/>
    <n v="-60000"/>
  </r>
  <r>
    <n v="59"/>
    <x v="58"/>
    <x v="3"/>
    <x v="4"/>
    <x v="1"/>
    <x v="4"/>
    <n v="65000"/>
    <n v="19000"/>
    <x v="30"/>
    <n v="135000"/>
    <n v="-0.377777777777778"/>
    <n v="0.226190476190476"/>
    <n v="0.773809523809524"/>
    <n v="-51000"/>
  </r>
  <r>
    <n v="60"/>
    <x v="59"/>
    <x v="2"/>
    <x v="1"/>
    <x v="5"/>
    <x v="1"/>
    <n v="80000"/>
    <n v="20000"/>
    <x v="2"/>
    <n v="220000"/>
    <n v="-0.545454545454545"/>
    <n v="0.2"/>
    <n v="0.8"/>
    <n v="-120000"/>
  </r>
  <r>
    <n v="61"/>
    <x v="60"/>
    <x v="0"/>
    <x v="1"/>
    <x v="0"/>
    <x v="2"/>
    <n v="55000"/>
    <n v="12000"/>
    <x v="5"/>
    <n v="150000"/>
    <n v="-0.553333333333333"/>
    <n v="0.17910447761194"/>
    <n v="0.82089552238806"/>
    <n v="-83000"/>
  </r>
  <r>
    <n v="62"/>
    <x v="61"/>
    <x v="2"/>
    <x v="4"/>
    <x v="0"/>
    <x v="1"/>
    <n v="80000"/>
    <n v="12000"/>
    <x v="16"/>
    <n v="135000"/>
    <n v="-0.318518518518519"/>
    <n v="0.130434782608696"/>
    <n v="0.869565217391304"/>
    <n v="-43000"/>
  </r>
  <r>
    <n v="63"/>
    <x v="62"/>
    <x v="2"/>
    <x v="2"/>
    <x v="2"/>
    <x v="0"/>
    <n v="50000"/>
    <n v="15000"/>
    <x v="19"/>
    <n v="160000"/>
    <n v="-0.59375"/>
    <n v="0.230769230769231"/>
    <n v="0.769230769230769"/>
    <n v="-95000"/>
  </r>
  <r>
    <n v="64"/>
    <x v="63"/>
    <x v="1"/>
    <x v="4"/>
    <x v="5"/>
    <x v="3"/>
    <n v="80000"/>
    <n v="13000"/>
    <x v="26"/>
    <n v="100000"/>
    <n v="-0.07"/>
    <n v="0.139784946236559"/>
    <n v="0.860215053763441"/>
    <n v="-7000"/>
  </r>
  <r>
    <n v="65"/>
    <x v="64"/>
    <x v="0"/>
    <x v="4"/>
    <x v="3"/>
    <x v="2"/>
    <n v="65000"/>
    <n v="12000"/>
    <x v="3"/>
    <n v="160000"/>
    <n v="-0.51875"/>
    <n v="0.155844155844156"/>
    <n v="0.844155844155844"/>
    <n v="-83000"/>
  </r>
  <r>
    <n v="66"/>
    <x v="64"/>
    <x v="0"/>
    <x v="4"/>
    <x v="5"/>
    <x v="4"/>
    <n v="65000"/>
    <n v="19000"/>
    <x v="30"/>
    <n v="140000"/>
    <n v="-0.4"/>
    <n v="0.226190476190476"/>
    <n v="0.773809523809524"/>
    <n v="-56000"/>
  </r>
  <r>
    <n v="67"/>
    <x v="65"/>
    <x v="0"/>
    <x v="1"/>
    <x v="4"/>
    <x v="3"/>
    <n v="85000"/>
    <n v="15000"/>
    <x v="2"/>
    <n v="120000"/>
    <n v="-0.166666666666667"/>
    <n v="0.15"/>
    <n v="0.85"/>
    <n v="-20000"/>
  </r>
  <r>
    <n v="68"/>
    <x v="66"/>
    <x v="4"/>
    <x v="1"/>
    <x v="4"/>
    <x v="2"/>
    <n v="80000"/>
    <n v="12000"/>
    <x v="16"/>
    <n v="120000"/>
    <n v="-0.233333333333333"/>
    <n v="0.130434782608696"/>
    <n v="0.869565217391304"/>
    <n v="-28000"/>
  </r>
  <r>
    <n v="69"/>
    <x v="67"/>
    <x v="0"/>
    <x v="4"/>
    <x v="5"/>
    <x v="2"/>
    <n v="70000"/>
    <n v="18000"/>
    <x v="29"/>
    <n v="120000"/>
    <n v="-0.266666666666667"/>
    <n v="0.204545454545455"/>
    <n v="0.795454545454545"/>
    <n v="-32000"/>
  </r>
  <r>
    <n v="70"/>
    <x v="68"/>
    <x v="4"/>
    <x v="3"/>
    <x v="0"/>
    <x v="0"/>
    <n v="65000"/>
    <n v="18000"/>
    <x v="31"/>
    <n v="120000"/>
    <n v="-0.308333333333333"/>
    <n v="0.216867469879518"/>
    <n v="0.783132530120482"/>
    <n v="-37000"/>
  </r>
  <r>
    <n v="71"/>
    <x v="69"/>
    <x v="2"/>
    <x v="3"/>
    <x v="4"/>
    <x v="1"/>
    <n v="85000"/>
    <n v="16000"/>
    <x v="9"/>
    <n v="120000"/>
    <n v="-0.158333333333333"/>
    <n v="0.158415841584158"/>
    <n v="0.841584158415842"/>
    <n v="-19000"/>
  </r>
  <r>
    <n v="72"/>
    <x v="70"/>
    <x v="1"/>
    <x v="1"/>
    <x v="4"/>
    <x v="2"/>
    <n v="55000"/>
    <n v="20000"/>
    <x v="32"/>
    <n v="200000"/>
    <n v="-0.625"/>
    <n v="0.266666666666667"/>
    <n v="0.733333333333333"/>
    <n v="-125000"/>
  </r>
  <r>
    <n v="73"/>
    <x v="71"/>
    <x v="0"/>
    <x v="2"/>
    <x v="2"/>
    <x v="2"/>
    <n v="70000"/>
    <n v="15000"/>
    <x v="22"/>
    <n v="150000"/>
    <n v="-0.433333333333333"/>
    <n v="0.176470588235294"/>
    <n v="0.823529411764706"/>
    <n v="-65000"/>
  </r>
  <r>
    <n v="74"/>
    <x v="72"/>
    <x v="2"/>
    <x v="1"/>
    <x v="2"/>
    <x v="2"/>
    <n v="95000"/>
    <n v="18000"/>
    <x v="33"/>
    <n v="150000"/>
    <n v="-0.246666666666667"/>
    <n v="0.15929203539823"/>
    <n v="0.84070796460177"/>
    <n v="-37000"/>
  </r>
  <r>
    <n v="75"/>
    <x v="73"/>
    <x v="1"/>
    <x v="3"/>
    <x v="3"/>
    <x v="4"/>
    <n v="80000"/>
    <n v="19000"/>
    <x v="28"/>
    <n v="140000"/>
    <n v="-0.292857142857143"/>
    <n v="0.191919191919192"/>
    <n v="0.808080808080808"/>
    <n v="-41000"/>
  </r>
  <r>
    <n v="76"/>
    <x v="74"/>
    <x v="3"/>
    <x v="4"/>
    <x v="4"/>
    <x v="0"/>
    <n v="80000"/>
    <n v="17000"/>
    <x v="34"/>
    <n v="182500"/>
    <n v="-0.468493150684932"/>
    <n v="0.175257731958763"/>
    <n v="0.824742268041237"/>
    <n v="-85500"/>
  </r>
  <r>
    <n v="77"/>
    <x v="75"/>
    <x v="1"/>
    <x v="4"/>
    <x v="0"/>
    <x v="0"/>
    <n v="80000"/>
    <n v="12000"/>
    <x v="16"/>
    <n v="100000"/>
    <n v="-0.08"/>
    <n v="0.130434782608696"/>
    <n v="0.869565217391304"/>
    <n v="-8000"/>
  </r>
  <r>
    <n v="78"/>
    <x v="76"/>
    <x v="4"/>
    <x v="0"/>
    <x v="1"/>
    <x v="1"/>
    <n v="90000"/>
    <n v="12000"/>
    <x v="6"/>
    <n v="140000"/>
    <n v="-0.271428571428571"/>
    <n v="0.117647058823529"/>
    <n v="0.882352941176471"/>
    <n v="-38000"/>
  </r>
  <r>
    <n v="79"/>
    <x v="77"/>
    <x v="2"/>
    <x v="3"/>
    <x v="2"/>
    <x v="1"/>
    <n v="80000"/>
    <n v="20000"/>
    <x v="2"/>
    <n v="220000"/>
    <n v="-0.545454545454545"/>
    <n v="0.2"/>
    <n v="0.8"/>
    <n v="-120000"/>
  </r>
  <r>
    <n v="80"/>
    <x v="78"/>
    <x v="4"/>
    <x v="3"/>
    <x v="3"/>
    <x v="4"/>
    <n v="80000"/>
    <n v="17000"/>
    <x v="34"/>
    <n v="160000"/>
    <n v="-0.39375"/>
    <n v="0.175257731958763"/>
    <n v="0.824742268041237"/>
    <n v="-63000"/>
  </r>
  <r>
    <n v="81"/>
    <x v="79"/>
    <x v="2"/>
    <x v="4"/>
    <x v="3"/>
    <x v="1"/>
    <n v="85000"/>
    <n v="12000"/>
    <x v="34"/>
    <n v="750000"/>
    <n v="-0.870666666666667"/>
    <n v="0.123711340206186"/>
    <n v="0.876288659793814"/>
    <n v="-653000"/>
  </r>
  <r>
    <n v="82"/>
    <x v="80"/>
    <x v="1"/>
    <x v="1"/>
    <x v="2"/>
    <x v="4"/>
    <n v="80000"/>
    <n v="12000"/>
    <x v="16"/>
    <n v="140000"/>
    <n v="-0.342857142857143"/>
    <n v="0.130434782608696"/>
    <n v="0.869565217391304"/>
    <n v="-48000"/>
  </r>
  <r>
    <n v="83"/>
    <x v="81"/>
    <x v="0"/>
    <x v="2"/>
    <x v="0"/>
    <x v="3"/>
    <n v="55000"/>
    <n v="19000"/>
    <x v="35"/>
    <n v="120000"/>
    <n v="-0.383333333333333"/>
    <n v="0.256756756756757"/>
    <n v="0.743243243243243"/>
    <n v="-46000"/>
  </r>
  <r>
    <n v="84"/>
    <x v="82"/>
    <x v="3"/>
    <x v="2"/>
    <x v="3"/>
    <x v="1"/>
    <n v="95000"/>
    <n v="15000"/>
    <x v="36"/>
    <n v="140000"/>
    <n v="-0.214285714285714"/>
    <n v="0.136363636363636"/>
    <n v="0.863636363636364"/>
    <n v="-30000"/>
  </r>
  <r>
    <n v="85"/>
    <x v="83"/>
    <x v="2"/>
    <x v="0"/>
    <x v="3"/>
    <x v="2"/>
    <n v="80000"/>
    <n v="10000"/>
    <x v="7"/>
    <n v="150000"/>
    <n v="-0.4"/>
    <n v="0.111111111111111"/>
    <n v="0.888888888888889"/>
    <n v="-60000"/>
  </r>
  <r>
    <n v="86"/>
    <x v="84"/>
    <x v="4"/>
    <x v="2"/>
    <x v="5"/>
    <x v="3"/>
    <n v="50000"/>
    <n v="14000"/>
    <x v="37"/>
    <n v="750000"/>
    <n v="-0.914666666666667"/>
    <n v="0.21875"/>
    <n v="0.78125"/>
    <n v="-686000"/>
  </r>
  <r>
    <n v="87"/>
    <x v="85"/>
    <x v="0"/>
    <x v="2"/>
    <x v="2"/>
    <x v="3"/>
    <n v="90000"/>
    <n v="14000"/>
    <x v="38"/>
    <n v="750000"/>
    <n v="-0.861333333333333"/>
    <n v="0.134615384615385"/>
    <n v="0.865384615384615"/>
    <n v="-646000"/>
  </r>
  <r>
    <n v="88"/>
    <x v="86"/>
    <x v="1"/>
    <x v="0"/>
    <x v="3"/>
    <x v="2"/>
    <n v="55000"/>
    <n v="19000"/>
    <x v="35"/>
    <n v="120000"/>
    <n v="-0.383333333333333"/>
    <n v="0.256756756756757"/>
    <n v="0.743243243243243"/>
    <n v="-46000"/>
  </r>
  <r>
    <n v="89"/>
    <x v="87"/>
    <x v="0"/>
    <x v="2"/>
    <x v="1"/>
    <x v="1"/>
    <n v="65000"/>
    <n v="12000"/>
    <x v="3"/>
    <n v="182500"/>
    <n v="-0.578082191780822"/>
    <n v="0.155844155844156"/>
    <n v="0.844155844155844"/>
    <n v="-105500"/>
  </r>
  <r>
    <n v="90"/>
    <x v="88"/>
    <x v="0"/>
    <x v="4"/>
    <x v="5"/>
    <x v="0"/>
    <n v="70000"/>
    <n v="12000"/>
    <x v="23"/>
    <n v="750000"/>
    <n v="-0.890666666666667"/>
    <n v="0.146341463414634"/>
    <n v="0.853658536585366"/>
    <n v="-668000"/>
  </r>
  <r>
    <n v="91"/>
    <x v="89"/>
    <x v="2"/>
    <x v="0"/>
    <x v="2"/>
    <x v="0"/>
    <n v="80000"/>
    <n v="12000"/>
    <x v="16"/>
    <n v="140000"/>
    <n v="-0.342857142857143"/>
    <n v="0.130434782608696"/>
    <n v="0.869565217391304"/>
    <n v="-48000"/>
  </r>
  <r>
    <n v="92"/>
    <x v="90"/>
    <x v="0"/>
    <x v="4"/>
    <x v="1"/>
    <x v="2"/>
    <n v="75000"/>
    <n v="15000"/>
    <x v="7"/>
    <n v="182500"/>
    <n v="-0.506849315068493"/>
    <n v="0.166666666666667"/>
    <n v="0.833333333333333"/>
    <n v="-92500"/>
  </r>
  <r>
    <n v="93"/>
    <x v="91"/>
    <x v="4"/>
    <x v="1"/>
    <x v="3"/>
    <x v="4"/>
    <n v="90000"/>
    <n v="15000"/>
    <x v="20"/>
    <n v="150000"/>
    <n v="-0.3"/>
    <n v="0.142857142857143"/>
    <n v="0.857142857142857"/>
    <n v="-45000"/>
  </r>
  <r>
    <n v="94"/>
    <x v="92"/>
    <x v="1"/>
    <x v="1"/>
    <x v="5"/>
    <x v="3"/>
    <n v="90000"/>
    <n v="19000"/>
    <x v="27"/>
    <n v="220000"/>
    <n v="-0.504545454545455"/>
    <n v="0.174311926605505"/>
    <n v="0.825688073394496"/>
    <n v="-111000"/>
  </r>
  <r>
    <n v="95"/>
    <x v="93"/>
    <x v="0"/>
    <x v="0"/>
    <x v="0"/>
    <x v="3"/>
    <n v="80000"/>
    <n v="14000"/>
    <x v="39"/>
    <n v="750000"/>
    <n v="-0.874666666666667"/>
    <n v="0.148936170212766"/>
    <n v="0.851063829787234"/>
    <n v="-656000"/>
  </r>
  <r>
    <n v="96"/>
    <x v="94"/>
    <x v="1"/>
    <x v="0"/>
    <x v="5"/>
    <x v="2"/>
    <n v="55000"/>
    <n v="12000"/>
    <x v="5"/>
    <n v="160000"/>
    <n v="-0.58125"/>
    <n v="0.17910447761194"/>
    <n v="0.82089552238806"/>
    <n v="-93000"/>
  </r>
  <r>
    <n v="97"/>
    <x v="95"/>
    <x v="4"/>
    <x v="4"/>
    <x v="4"/>
    <x v="4"/>
    <n v="70000"/>
    <n v="20000"/>
    <x v="7"/>
    <n v="135000"/>
    <n v="-0.333333333333333"/>
    <n v="0.222222222222222"/>
    <n v="0.777777777777778"/>
    <n v="-45000"/>
  </r>
  <r>
    <n v="98"/>
    <x v="96"/>
    <x v="0"/>
    <x v="0"/>
    <x v="5"/>
    <x v="2"/>
    <n v="55000"/>
    <n v="15000"/>
    <x v="10"/>
    <n v="220000"/>
    <n v="-0.681818181818182"/>
    <n v="0.214285714285714"/>
    <n v="0.785714285714286"/>
    <n v="-150000"/>
  </r>
  <r>
    <n v="99"/>
    <x v="97"/>
    <x v="2"/>
    <x v="2"/>
    <x v="0"/>
    <x v="0"/>
    <n v="65000"/>
    <n v="20000"/>
    <x v="22"/>
    <n v="160000"/>
    <n v="-0.46875"/>
    <n v="0.235294117647059"/>
    <n v="0.764705882352941"/>
    <n v="-75000"/>
  </r>
  <r>
    <n v="100"/>
    <x v="98"/>
    <x v="2"/>
    <x v="4"/>
    <x v="5"/>
    <x v="4"/>
    <n v="80000"/>
    <n v="13000"/>
    <x v="26"/>
    <n v="750000"/>
    <n v="-0.876"/>
    <n v="0.139784946236559"/>
    <n v="0.860215053763441"/>
    <n v="-657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pivotTable1.xml><?xml version="1.0" encoding="utf-8"?>
<pivotTableDefinition xmlns="http://schemas.openxmlformats.org/spreadsheetml/2006/main" name="PivotTable2" cacheId="9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>
  <location ref="H28:N35" firstHeaderRow="1" firstDataRow="2" firstDataCol="1"/>
  <pivotFields count="14">
    <pivotField dataField="1" showAll="0"/>
    <pivotField showAll="0">
      <items count="1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axis="axisRow" showAll="0">
      <items count="6">
        <item x="1"/>
        <item x="2"/>
        <item x="3"/>
        <item x="0"/>
        <item x="4"/>
        <item t="default"/>
      </items>
    </pivotField>
    <pivotField axis="axisCol" showAll="0">
      <items count="6">
        <item x="2"/>
        <item x="0"/>
        <item x="3"/>
        <item x="4"/>
        <item x="1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showAll="0"/>
    <pivotField numFmtId="10" showAll="0"/>
    <pivotField numFmtId="176" showAll="0"/>
    <pivotField numFmtId="176"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ID" fld="0" subtotal="count" baseField="2" baseItem="0"/>
  </dataFields>
  <formats count="1">
    <format dxfId="0">
      <pivotArea collapsedLevelsAreSubtotals="1" fieldPosition="0">
        <references count="2">
          <reference field="2" count="1" selected="0">
            <x v="1"/>
          </reference>
          <reference field="3" count="1" selected="0">
            <x v="0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9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2">
  <location ref="H15:L21" firstHeaderRow="0" firstDataRow="1" firstDataCol="1"/>
  <pivotFields count="14">
    <pivotField showAll="0"/>
    <pivotField showAll="0"/>
    <pivotField showAll="0"/>
    <pivotField axis="axisRow" showAll="0">
      <items count="6">
        <item x="2"/>
        <item x="0"/>
        <item x="3"/>
        <item x="4"/>
        <item x="1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dataField="1" numFmtId="10" showAll="0"/>
    <pivotField numFmtId="176" showAll="0"/>
    <pivotField numFmtId="176" showAll="0"/>
    <pivotField dataField="1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Industry Benchmark" fld="9" subtotal="average" baseField="3" baseItem="0" numFmtId="1"/>
    <dataField name="Average of Total CTC" fld="8" subtotal="average" baseField="3" baseItem="0" numFmtId="1"/>
    <dataField name="Average of Difference %" fld="10" subtotal="average" baseField="3" baseItem="0" numFmtId="10"/>
    <dataField name="Average of _x0009_Benchmark Gap" fld="13" subtotal="average" baseField="3" baseItem="0" numFmtId="1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7" cacheId="9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2">
  <location ref="A16:C23" firstHeaderRow="0" firstDataRow="1" firstDataCol="1"/>
  <pivotFields count="14">
    <pivotField showAll="0"/>
    <pivotField showAll="0"/>
    <pivotField showAll="0"/>
    <pivotField showAll="0"/>
    <pivotField axis="axisRow" showAll="0">
      <items count="7">
        <item x="1"/>
        <item x="2"/>
        <item x="4"/>
        <item x="0"/>
        <item x="3"/>
        <item x="5"/>
        <item t="default"/>
      </items>
    </pivotField>
    <pivotField showAll="0"/>
    <pivotField showAll="0"/>
    <pivotField showAll="0"/>
    <pivotField showAll="0"/>
    <pivotField showAll="0"/>
    <pivotField numFmtId="10" showAll="0"/>
    <pivotField dataField="1" numFmtId="176" showAll="0"/>
    <pivotField dataField="1" numFmtId="176" showAll="0"/>
    <pivotField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Variable Pay % " fld="11" subtotal="average" baseField="4" baseItem="0" numFmtId="176"/>
    <dataField name="Average of _x0009_Fixed Pay %" fld="12" subtotal="average" baseField="4" baseItem="0" numFmtId="176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26" cacheId="9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2">
  <location ref="G4:J10" firstHeaderRow="0" firstDataRow="1" firstDataCol="1"/>
  <pivotFields count="14">
    <pivotField showAll="0"/>
    <pivotField showAll="0"/>
    <pivotField axis="axisRow" showAll="0">
      <items count="6">
        <item x="1"/>
        <item x="2"/>
        <item x="3"/>
        <item x="0"/>
        <item x="4"/>
        <item t="default"/>
      </items>
    </pivotField>
    <pivotField showAll="0"/>
    <pivotField showAll="0"/>
    <pivotField showAll="0"/>
    <pivotField dataField="1" showAll="0"/>
    <pivotField dataField="1" showAll="0"/>
    <pivotField dataField="1" showAll="0">
      <items count="41">
        <item x="15"/>
        <item x="12"/>
        <item x="37"/>
        <item x="19"/>
        <item x="5"/>
        <item x="10"/>
        <item x="35"/>
        <item x="32"/>
        <item x="3"/>
        <item x="8"/>
        <item x="21"/>
        <item x="0"/>
        <item x="23"/>
        <item x="31"/>
        <item x="30"/>
        <item x="22"/>
        <item x="17"/>
        <item x="29"/>
        <item x="7"/>
        <item x="16"/>
        <item x="26"/>
        <item x="39"/>
        <item x="18"/>
        <item x="24"/>
        <item x="34"/>
        <item x="11"/>
        <item x="28"/>
        <item x="2"/>
        <item x="9"/>
        <item x="6"/>
        <item x="38"/>
        <item x="20"/>
        <item x="14"/>
        <item x="1"/>
        <item x="27"/>
        <item x="36"/>
        <item x="25"/>
        <item x="33"/>
        <item x="4"/>
        <item x="13"/>
        <item t="default"/>
      </items>
    </pivotField>
    <pivotField showAll="0"/>
    <pivotField numFmtId="10" showAll="0"/>
    <pivotField numFmtId="176" showAll="0"/>
    <pivotField numFmtId="176"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Fixed Pay" fld="6" subtotal="average" baseField="2" baseItem="0" numFmtId="1"/>
    <dataField name="Average of Variable Pay" fld="7" subtotal="average" baseField="2" baseItem="0" numFmtId="1"/>
    <dataField name="Average of Total CTC" fld="8" subtotal="average" baseField="2" baseItem="0" numFmtId="1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25" cacheId="9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2">
  <location ref="A4:D10" firstHeaderRow="0" firstDataRow="1" firstDataCol="1"/>
  <pivotFields count="14">
    <pivotField showAll="0"/>
    <pivotField showAll="0"/>
    <pivotField showAll="0"/>
    <pivotField axis="axisRow" showAll="0">
      <items count="6">
        <item x="2"/>
        <item x="0"/>
        <item x="3"/>
        <item x="4"/>
        <item x="1"/>
        <item t="default"/>
      </items>
    </pivotField>
    <pivotField showAll="0"/>
    <pivotField showAll="0"/>
    <pivotField dataField="1" showAll="0"/>
    <pivotField dataField="1" showAll="0"/>
    <pivotField dataField="1" showAll="0"/>
    <pivotField showAll="0"/>
    <pivotField numFmtId="10" showAll="0"/>
    <pivotField numFmtId="176" showAll="0"/>
    <pivotField numFmtId="176"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Fixed Pay" fld="6" subtotal="average" baseField="3" baseItem="0"/>
    <dataField name="Average of Total CTC" fld="8" subtotal="average" baseField="3" baseItem="0"/>
    <dataField name="Average of Variable Pay" fld="7" subtotal="average" baseField="3" baseItem="0"/>
  </dataFields>
  <formats count="1">
    <format dxfId="1">
      <pivotArea collapsedLevelsAreSubtotals="1" fieldPosition="0">
        <references count="1">
          <reference field="3" count="0"/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1" cacheId="3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>
  <location ref="G12:J18" firstHeaderRow="0" firstDataRow="1" firstDataCol="1"/>
  <pivotFields count="12">
    <pivotField showAll="0"/>
    <pivotField axis="axisRow" showAll="0">
      <items count="100">
        <item x="7"/>
        <item x="33"/>
        <item x="50"/>
        <item x="74"/>
        <item x="49"/>
        <item x="11"/>
        <item x="34"/>
        <item x="76"/>
        <item x="35"/>
        <item x="17"/>
        <item x="15"/>
        <item x="95"/>
        <item x="90"/>
        <item x="57"/>
        <item x="5"/>
        <item x="78"/>
        <item x="3"/>
        <item x="47"/>
        <item x="29"/>
        <item x="60"/>
        <item x="46"/>
        <item x="68"/>
        <item x="86"/>
        <item x="42"/>
        <item x="87"/>
        <item x="31"/>
        <item x="32"/>
        <item x="79"/>
        <item x="1"/>
        <item x="51"/>
        <item x="84"/>
        <item x="71"/>
        <item x="97"/>
        <item x="37"/>
        <item x="45"/>
        <item x="70"/>
        <item x="48"/>
        <item x="89"/>
        <item x="81"/>
        <item x="82"/>
        <item x="61"/>
        <item x="83"/>
        <item x="58"/>
        <item x="91"/>
        <item x="27"/>
        <item x="25"/>
        <item x="0"/>
        <item x="92"/>
        <item x="22"/>
        <item x="64"/>
        <item x="14"/>
        <item x="36"/>
        <item x="44"/>
        <item x="52"/>
        <item x="8"/>
        <item x="30"/>
        <item x="88"/>
        <item x="98"/>
        <item x="18"/>
        <item x="73"/>
        <item x="77"/>
        <item x="67"/>
        <item x="96"/>
        <item x="56"/>
        <item x="21"/>
        <item x="19"/>
        <item x="16"/>
        <item x="23"/>
        <item x="72"/>
        <item x="28"/>
        <item x="40"/>
        <item x="59"/>
        <item x="12"/>
        <item x="4"/>
        <item x="63"/>
        <item x="2"/>
        <item x="55"/>
        <item x="53"/>
        <item x="65"/>
        <item x="24"/>
        <item x="69"/>
        <item x="85"/>
        <item x="75"/>
        <item x="26"/>
        <item x="93"/>
        <item x="6"/>
        <item x="62"/>
        <item x="54"/>
        <item x="94"/>
        <item x="13"/>
        <item x="38"/>
        <item x="41"/>
        <item x="9"/>
        <item x="39"/>
        <item x="80"/>
        <item x="43"/>
        <item x="20"/>
        <item x="10"/>
        <item x="66"/>
        <item t="default"/>
      </items>
    </pivotField>
    <pivotField axis="axisRow" showAll="0">
      <items count="6">
        <item sd="0" x="1"/>
        <item sd="0" x="2"/>
        <item sd="0" x="3"/>
        <item sd="0" x="0"/>
        <item sd="0" x="4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dataField="1" numFmtId="10" showAll="0"/>
    <pivotField dataField="1" numFmtId="176" showAll="0"/>
  </pivotFields>
  <rowFields count="2">
    <field x="2"/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Variable Pay % " fld="11" subtotal="average" baseField="0" baseItem="0" numFmtId="176"/>
    <dataField name="Average of Difference %" fld="10" subtotal="average" baseField="0" baseItem="0" numFmtId="10"/>
    <dataField name="Sum of Fixed Pay" fld="6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21" cacheId="8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>
  <location ref="M12:N18" firstHeaderRow="1" firstDataRow="1" firstDataCol="1"/>
  <pivotFields count="12">
    <pivotField dataField="1" showAll="0"/>
    <pivotField axis="axisRow" showAll="0">
      <items count="100">
        <item x="7"/>
        <item x="33"/>
        <item x="50"/>
        <item x="74"/>
        <item x="49"/>
        <item x="11"/>
        <item x="34"/>
        <item x="76"/>
        <item x="35"/>
        <item x="17"/>
        <item x="15"/>
        <item x="95"/>
        <item x="90"/>
        <item x="57"/>
        <item x="5"/>
        <item x="78"/>
        <item x="3"/>
        <item x="47"/>
        <item x="29"/>
        <item x="60"/>
        <item x="46"/>
        <item x="68"/>
        <item x="86"/>
        <item x="42"/>
        <item x="87"/>
        <item x="31"/>
        <item x="32"/>
        <item x="79"/>
        <item x="1"/>
        <item x="51"/>
        <item x="84"/>
        <item x="71"/>
        <item x="97"/>
        <item x="37"/>
        <item x="45"/>
        <item x="70"/>
        <item x="48"/>
        <item x="89"/>
        <item x="81"/>
        <item x="82"/>
        <item x="61"/>
        <item x="83"/>
        <item x="58"/>
        <item x="91"/>
        <item x="27"/>
        <item x="25"/>
        <item x="0"/>
        <item x="92"/>
        <item x="22"/>
        <item x="64"/>
        <item x="14"/>
        <item x="36"/>
        <item x="44"/>
        <item x="52"/>
        <item x="8"/>
        <item x="30"/>
        <item x="88"/>
        <item x="98"/>
        <item x="18"/>
        <item x="73"/>
        <item x="77"/>
        <item x="67"/>
        <item x="96"/>
        <item x="56"/>
        <item x="21"/>
        <item x="19"/>
        <item x="16"/>
        <item x="23"/>
        <item x="72"/>
        <item x="28"/>
        <item x="40"/>
        <item x="59"/>
        <item x="12"/>
        <item x="4"/>
        <item x="63"/>
        <item x="2"/>
        <item x="55"/>
        <item x="53"/>
        <item x="65"/>
        <item x="24"/>
        <item x="69"/>
        <item x="85"/>
        <item x="75"/>
        <item x="26"/>
        <item x="93"/>
        <item x="6"/>
        <item x="62"/>
        <item x="54"/>
        <item x="94"/>
        <item x="13"/>
        <item x="38"/>
        <item x="41"/>
        <item x="9"/>
        <item x="39"/>
        <item x="80"/>
        <item x="43"/>
        <item x="20"/>
        <item x="10"/>
        <item x="66"/>
        <item t="default"/>
      </items>
    </pivotField>
    <pivotField showAll="0"/>
    <pivotField axis="axisRow" showAll="0">
      <items count="6">
        <item sd="0" x="2"/>
        <item sd="0" x="0"/>
        <item sd="0" x="3"/>
        <item sd="0" x="4"/>
        <item sd="0" x="1"/>
        <item t="default"/>
      </items>
    </pivotField>
    <pivotField showAll="0"/>
    <pivotField showAll="0"/>
    <pivotField showAll="0"/>
    <pivotField showAll="0"/>
    <pivotField showAll="0"/>
    <pivotField showAll="0"/>
    <pivotField numFmtId="10" showAll="0"/>
    <pivotField numFmtId="176" showAll="0"/>
  </pivotFields>
  <rowFields count="2">
    <field x="3"/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ID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19" cacheId="7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>
  <location ref="M3:P9" firstHeaderRow="0" firstDataRow="1" firstDataCol="1"/>
  <pivotFields count="12">
    <pivotField dataField="1" showAll="0"/>
    <pivotField axis="axisRow" showAll="0">
      <items count="100">
        <item x="7"/>
        <item x="33"/>
        <item x="50"/>
        <item x="74"/>
        <item x="49"/>
        <item x="11"/>
        <item x="34"/>
        <item x="76"/>
        <item x="35"/>
        <item x="17"/>
        <item x="15"/>
        <item x="95"/>
        <item x="90"/>
        <item x="57"/>
        <item x="5"/>
        <item x="78"/>
        <item x="3"/>
        <item x="47"/>
        <item x="29"/>
        <item x="60"/>
        <item x="46"/>
        <item x="68"/>
        <item x="86"/>
        <item x="42"/>
        <item x="87"/>
        <item x="31"/>
        <item x="32"/>
        <item x="79"/>
        <item x="1"/>
        <item x="51"/>
        <item x="84"/>
        <item x="71"/>
        <item x="97"/>
        <item x="37"/>
        <item x="45"/>
        <item x="70"/>
        <item x="48"/>
        <item x="89"/>
        <item x="81"/>
        <item x="82"/>
        <item x="61"/>
        <item x="83"/>
        <item x="58"/>
        <item x="91"/>
        <item x="27"/>
        <item x="25"/>
        <item x="0"/>
        <item x="92"/>
        <item x="22"/>
        <item x="64"/>
        <item x="14"/>
        <item x="36"/>
        <item x="44"/>
        <item x="52"/>
        <item x="8"/>
        <item x="30"/>
        <item x="88"/>
        <item x="98"/>
        <item x="18"/>
        <item x="73"/>
        <item x="77"/>
        <item x="67"/>
        <item x="96"/>
        <item x="56"/>
        <item x="21"/>
        <item x="19"/>
        <item x="16"/>
        <item x="23"/>
        <item x="72"/>
        <item x="28"/>
        <item x="40"/>
        <item x="59"/>
        <item x="12"/>
        <item x="4"/>
        <item x="63"/>
        <item x="2"/>
        <item x="55"/>
        <item x="53"/>
        <item x="65"/>
        <item x="24"/>
        <item x="69"/>
        <item x="85"/>
        <item x="75"/>
        <item x="26"/>
        <item x="93"/>
        <item x="6"/>
        <item x="62"/>
        <item x="54"/>
        <item x="94"/>
        <item x="13"/>
        <item x="38"/>
        <item x="41"/>
        <item x="9"/>
        <item x="39"/>
        <item x="80"/>
        <item x="43"/>
        <item x="20"/>
        <item x="10"/>
        <item x="66"/>
        <item t="default"/>
      </items>
    </pivotField>
    <pivotField axis="axisRow" showAll="0">
      <items count="6">
        <item sd="0" x="1"/>
        <item sd="0" x="2"/>
        <item sd="0" x="3"/>
        <item sd="0" x="0"/>
        <item sd="0" x="4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numFmtId="10" showAll="0"/>
    <pivotField numFmtId="176" showAll="0"/>
  </pivotFields>
  <rowFields count="2">
    <field x="2"/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Industry Benchmark" fld="9" baseField="0" baseItem="0"/>
    <dataField name="Average of Difference %" fld="10" subtotal="average" baseField="0" baseItem="0" numFmtId="10"/>
    <dataField name="Count of ID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9" cacheId="2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>
  <location ref="A12:D18" firstHeaderRow="0" firstDataRow="1" firstDataCol="1"/>
  <pivotFields count="12">
    <pivotField showAll="0"/>
    <pivotField axis="axisRow" showAll="0">
      <items count="100">
        <item x="7"/>
        <item x="33"/>
        <item x="50"/>
        <item x="74"/>
        <item x="49"/>
        <item x="11"/>
        <item x="34"/>
        <item x="76"/>
        <item x="35"/>
        <item x="17"/>
        <item x="15"/>
        <item x="95"/>
        <item x="90"/>
        <item x="57"/>
        <item x="5"/>
        <item x="78"/>
        <item x="3"/>
        <item x="47"/>
        <item x="29"/>
        <item x="60"/>
        <item x="46"/>
        <item x="68"/>
        <item x="86"/>
        <item x="42"/>
        <item x="87"/>
        <item x="31"/>
        <item x="32"/>
        <item x="79"/>
        <item x="1"/>
        <item x="51"/>
        <item x="84"/>
        <item x="71"/>
        <item x="97"/>
        <item x="37"/>
        <item x="45"/>
        <item x="70"/>
        <item x="48"/>
        <item x="89"/>
        <item x="81"/>
        <item x="82"/>
        <item x="61"/>
        <item x="83"/>
        <item x="58"/>
        <item x="91"/>
        <item x="27"/>
        <item x="25"/>
        <item x="0"/>
        <item x="92"/>
        <item x="22"/>
        <item x="64"/>
        <item x="14"/>
        <item x="36"/>
        <item x="44"/>
        <item x="52"/>
        <item x="8"/>
        <item x="30"/>
        <item x="88"/>
        <item x="98"/>
        <item x="18"/>
        <item x="73"/>
        <item x="77"/>
        <item x="67"/>
        <item x="96"/>
        <item x="56"/>
        <item x="21"/>
        <item x="19"/>
        <item x="16"/>
        <item x="23"/>
        <item x="72"/>
        <item x="28"/>
        <item x="40"/>
        <item x="59"/>
        <item x="12"/>
        <item x="4"/>
        <item x="63"/>
        <item x="2"/>
        <item x="55"/>
        <item x="53"/>
        <item x="65"/>
        <item x="24"/>
        <item x="69"/>
        <item x="85"/>
        <item x="75"/>
        <item x="26"/>
        <item x="93"/>
        <item x="6"/>
        <item x="62"/>
        <item x="54"/>
        <item x="94"/>
        <item x="13"/>
        <item x="38"/>
        <item x="41"/>
        <item x="9"/>
        <item x="39"/>
        <item x="80"/>
        <item x="43"/>
        <item x="20"/>
        <item x="10"/>
        <item x="66"/>
        <item t="default"/>
      </items>
    </pivotField>
    <pivotField showAll="0"/>
    <pivotField showAll="0"/>
    <pivotField showAll="0"/>
    <pivotField axis="axisRow" showAll="0">
      <items count="6">
        <item sd="0" x="4"/>
        <item sd="0" x="3"/>
        <item sd="0" x="2"/>
        <item sd="0" x="1"/>
        <item sd="0" x="0"/>
        <item t="default"/>
      </items>
    </pivotField>
    <pivotField dataField="1" showAll="0"/>
    <pivotField dataField="1" showAll="0"/>
    <pivotField dataField="1" showAll="0"/>
    <pivotField showAll="0"/>
    <pivotField numFmtId="10" showAll="0"/>
    <pivotField numFmtId="176" showAll="0"/>
  </pivotFields>
  <rowFields count="2">
    <field x="5"/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Fixed Pay" fld="6" baseField="0" baseItem="0"/>
    <dataField name="Sum of Variable Pay" fld="7" baseField="0" baseItem="0"/>
    <dataField name="Sum of Total CTC" fld="8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5" cacheId="1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>
  <location ref="D3:E9" firstHeaderRow="1" firstDataRow="1" firstDataCol="1"/>
  <pivotFields count="12">
    <pivotField dataField="1" showAll="0"/>
    <pivotField showAll="0"/>
    <pivotField showAll="0"/>
    <pivotField showAll="0"/>
    <pivotField showAll="0"/>
    <pivotField axis="axisRow" showAll="0">
      <items count="6"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numFmtId="10" showAll="0"/>
    <pivotField numFmtId="176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ID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17" cacheId="6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>
  <location ref="G22:J28" firstHeaderRow="0" firstDataRow="1" firstDataCol="1"/>
  <pivotFields count="12">
    <pivotField showAll="0"/>
    <pivotField axis="axisRow" showAll="0">
      <items count="100">
        <item x="7"/>
        <item x="33"/>
        <item x="50"/>
        <item x="74"/>
        <item x="49"/>
        <item x="11"/>
        <item x="34"/>
        <item x="76"/>
        <item x="35"/>
        <item x="17"/>
        <item x="15"/>
        <item x="95"/>
        <item x="90"/>
        <item x="57"/>
        <item x="5"/>
        <item x="78"/>
        <item x="3"/>
        <item x="47"/>
        <item x="29"/>
        <item x="60"/>
        <item x="46"/>
        <item x="68"/>
        <item x="86"/>
        <item x="42"/>
        <item x="87"/>
        <item x="31"/>
        <item x="32"/>
        <item x="79"/>
        <item x="1"/>
        <item x="51"/>
        <item x="84"/>
        <item x="71"/>
        <item x="97"/>
        <item x="37"/>
        <item x="45"/>
        <item x="70"/>
        <item x="48"/>
        <item x="89"/>
        <item x="81"/>
        <item x="82"/>
        <item x="61"/>
        <item x="83"/>
        <item x="58"/>
        <item x="91"/>
        <item x="27"/>
        <item x="25"/>
        <item x="0"/>
        <item x="92"/>
        <item x="22"/>
        <item x="64"/>
        <item x="14"/>
        <item x="36"/>
        <item x="44"/>
        <item x="52"/>
        <item x="8"/>
        <item x="30"/>
        <item x="88"/>
        <item x="98"/>
        <item x="18"/>
        <item x="73"/>
        <item x="77"/>
        <item x="67"/>
        <item x="96"/>
        <item x="56"/>
        <item x="21"/>
        <item x="19"/>
        <item x="16"/>
        <item x="23"/>
        <item x="72"/>
        <item x="28"/>
        <item x="40"/>
        <item x="59"/>
        <item x="12"/>
        <item x="4"/>
        <item x="63"/>
        <item x="2"/>
        <item x="55"/>
        <item x="53"/>
        <item x="65"/>
        <item x="24"/>
        <item x="69"/>
        <item x="85"/>
        <item x="75"/>
        <item x="26"/>
        <item x="93"/>
        <item x="6"/>
        <item x="62"/>
        <item x="54"/>
        <item x="94"/>
        <item x="13"/>
        <item x="38"/>
        <item x="41"/>
        <item x="9"/>
        <item x="39"/>
        <item x="80"/>
        <item x="43"/>
        <item x="20"/>
        <item x="10"/>
        <item x="66"/>
        <item t="default"/>
      </items>
    </pivotField>
    <pivotField axis="axisRow" showAll="0">
      <items count="6">
        <item sd="0" x="1"/>
        <item sd="0" x="2"/>
        <item sd="0" x="3"/>
        <item sd="0" x="0"/>
        <item sd="0" x="4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showAll="0"/>
    <pivotField dataField="1" numFmtId="10" showAll="0"/>
    <pivotField numFmtId="176" showAll="0"/>
  </pivotFields>
  <rowFields count="2">
    <field x="2"/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 CTC" fld="8" baseField="0" baseItem="0"/>
    <dataField name="Sum of Industry Benchmark" fld="9" baseField="0" baseItem="0"/>
    <dataField name="Average of Difference %" fld="10" subtotal="average" baseField="0" baseItem="0" numFmtId="1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>
  <location ref="A3:B9" firstHeaderRow="1" firstDataRow="1" firstDataCol="1"/>
  <pivotFields count="12">
    <pivotField showAll="0"/>
    <pivotField showAll="0"/>
    <pivotField showAll="0"/>
    <pivotField showAll="0"/>
    <pivotField showAll="0"/>
    <pivotField axis="axisRow" showAll="0">
      <items count="6"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dataField="1" numFmtId="10" showAll="0"/>
    <pivotField numFmtId="176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Difference %" fld="10" subtotal="average" baseField="0" baseItem="0" numFmtId="1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3.xml><?xml version="1.0" encoding="utf-8"?>
<pivotTableDefinition xmlns="http://schemas.openxmlformats.org/spreadsheetml/2006/main" name="PivotTable15" cacheId="5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>
  <location ref="A22:D28" firstHeaderRow="0" firstDataRow="1" firstDataCol="1"/>
  <pivotFields count="12">
    <pivotField showAll="0"/>
    <pivotField axis="axisRow" showAll="0">
      <items count="100">
        <item x="7"/>
        <item x="33"/>
        <item x="50"/>
        <item x="74"/>
        <item x="49"/>
        <item x="11"/>
        <item x="34"/>
        <item x="76"/>
        <item x="35"/>
        <item x="17"/>
        <item x="15"/>
        <item x="95"/>
        <item x="90"/>
        <item x="57"/>
        <item x="5"/>
        <item x="78"/>
        <item x="3"/>
        <item x="47"/>
        <item x="29"/>
        <item x="60"/>
        <item x="46"/>
        <item x="68"/>
        <item x="86"/>
        <item x="42"/>
        <item x="87"/>
        <item x="31"/>
        <item x="32"/>
        <item x="79"/>
        <item x="1"/>
        <item x="51"/>
        <item x="84"/>
        <item x="71"/>
        <item x="97"/>
        <item x="37"/>
        <item x="45"/>
        <item x="70"/>
        <item x="48"/>
        <item x="89"/>
        <item x="81"/>
        <item x="82"/>
        <item x="61"/>
        <item x="83"/>
        <item x="58"/>
        <item x="91"/>
        <item x="27"/>
        <item x="25"/>
        <item x="0"/>
        <item x="92"/>
        <item x="22"/>
        <item x="64"/>
        <item x="14"/>
        <item x="36"/>
        <item x="44"/>
        <item x="52"/>
        <item x="8"/>
        <item x="30"/>
        <item x="88"/>
        <item x="98"/>
        <item x="18"/>
        <item x="73"/>
        <item x="77"/>
        <item x="67"/>
        <item x="96"/>
        <item x="56"/>
        <item x="21"/>
        <item x="19"/>
        <item x="16"/>
        <item x="23"/>
        <item x="72"/>
        <item x="28"/>
        <item x="40"/>
        <item x="59"/>
        <item x="12"/>
        <item x="4"/>
        <item x="63"/>
        <item x="2"/>
        <item x="55"/>
        <item x="53"/>
        <item x="65"/>
        <item x="24"/>
        <item x="69"/>
        <item x="85"/>
        <item x="75"/>
        <item x="26"/>
        <item x="93"/>
        <item x="6"/>
        <item x="62"/>
        <item x="54"/>
        <item x="94"/>
        <item x="13"/>
        <item x="38"/>
        <item x="41"/>
        <item x="9"/>
        <item x="39"/>
        <item x="80"/>
        <item x="43"/>
        <item x="20"/>
        <item x="10"/>
        <item x="66"/>
        <item t="default"/>
      </items>
    </pivotField>
    <pivotField showAll="0"/>
    <pivotField axis="axisRow" showAll="0">
      <items count="6">
        <item sd="0" x="2"/>
        <item sd="0" x="0"/>
        <item sd="0" x="3"/>
        <item sd="0" x="4"/>
        <item sd="0" x="1"/>
        <item t="default"/>
      </items>
    </pivotField>
    <pivotField showAll="0"/>
    <pivotField showAll="0"/>
    <pivotField showAll="0"/>
    <pivotField dataField="1" showAll="0"/>
    <pivotField dataField="1" showAll="0"/>
    <pivotField dataField="1" showAll="0"/>
    <pivotField numFmtId="10" showAll="0"/>
    <pivotField numFmtId="176" showAll="0"/>
  </pivotFields>
  <rowFields count="2">
    <field x="3"/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Variable Pay" fld="7" baseField="0" baseItem="0"/>
    <dataField name="Sum of Total CTC" fld="8" baseField="0" baseItem="0"/>
    <dataField name="Sum of Industry Benchmark" fld="9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4.xml><?xml version="1.0" encoding="utf-8"?>
<pivotTableDefinition xmlns="http://schemas.openxmlformats.org/spreadsheetml/2006/main" name="PivotTable13" cacheId="4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>
  <location ref="G3:H9" firstHeaderRow="1" firstDataRow="1" firstDataCol="1"/>
  <pivotFields count="12">
    <pivotField showAll="0"/>
    <pivotField axis="axisRow" showAll="0">
      <items count="100">
        <item x="7"/>
        <item x="33"/>
        <item x="50"/>
        <item x="74"/>
        <item x="49"/>
        <item x="11"/>
        <item x="34"/>
        <item x="76"/>
        <item x="35"/>
        <item x="17"/>
        <item x="15"/>
        <item x="95"/>
        <item x="90"/>
        <item x="57"/>
        <item x="5"/>
        <item x="78"/>
        <item x="3"/>
        <item x="47"/>
        <item x="29"/>
        <item x="60"/>
        <item x="46"/>
        <item x="68"/>
        <item x="86"/>
        <item x="42"/>
        <item x="87"/>
        <item x="31"/>
        <item x="32"/>
        <item x="79"/>
        <item x="1"/>
        <item x="51"/>
        <item x="84"/>
        <item x="71"/>
        <item x="97"/>
        <item x="37"/>
        <item x="45"/>
        <item x="70"/>
        <item x="48"/>
        <item x="89"/>
        <item x="81"/>
        <item x="82"/>
        <item x="61"/>
        <item x="83"/>
        <item x="58"/>
        <item x="91"/>
        <item x="27"/>
        <item x="25"/>
        <item x="0"/>
        <item x="92"/>
        <item x="22"/>
        <item x="64"/>
        <item x="14"/>
        <item x="36"/>
        <item x="44"/>
        <item x="52"/>
        <item x="8"/>
        <item x="30"/>
        <item x="88"/>
        <item x="98"/>
        <item x="18"/>
        <item x="73"/>
        <item x="77"/>
        <item x="67"/>
        <item x="96"/>
        <item x="56"/>
        <item x="21"/>
        <item x="19"/>
        <item x="16"/>
        <item x="23"/>
        <item x="72"/>
        <item x="28"/>
        <item x="40"/>
        <item x="59"/>
        <item x="12"/>
        <item x="4"/>
        <item x="63"/>
        <item x="2"/>
        <item x="55"/>
        <item x="53"/>
        <item x="65"/>
        <item x="24"/>
        <item x="69"/>
        <item x="85"/>
        <item x="75"/>
        <item x="26"/>
        <item x="93"/>
        <item x="6"/>
        <item x="62"/>
        <item x="54"/>
        <item x="94"/>
        <item x="13"/>
        <item x="38"/>
        <item x="41"/>
        <item x="9"/>
        <item x="39"/>
        <item x="80"/>
        <item x="43"/>
        <item x="20"/>
        <item x="10"/>
        <item x="66"/>
        <item t="default"/>
      </items>
    </pivotField>
    <pivotField showAll="0"/>
    <pivotField axis="axisRow" showAll="0">
      <items count="6">
        <item sd="0" x="2"/>
        <item sd="0" x="0"/>
        <item sd="0" x="3"/>
        <item sd="0" x="4"/>
        <item sd="0"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numFmtId="10" showAll="0"/>
    <pivotField numFmtId="176" showAll="0"/>
  </pivotFields>
  <rowFields count="2">
    <field x="3"/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Difference %" fld="10" subtotal="average" baseField="0" baseItem="0" numFmtId="1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5.xml><?xml version="1.0" encoding="utf-8"?>
<pivotTableDefinition xmlns="http://schemas.openxmlformats.org/spreadsheetml/2006/main" name="PivotTable23" cacheId="9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>
  <location ref="M22:S30" firstHeaderRow="1" firstDataRow="2" firstDataCol="1"/>
  <pivotFields count="14">
    <pivotField showAll="0"/>
    <pivotField axis="axisRow" showAll="0">
      <items count="100">
        <item x="7"/>
        <item x="33"/>
        <item x="50"/>
        <item x="74"/>
        <item x="49"/>
        <item x="11"/>
        <item x="34"/>
        <item x="76"/>
        <item x="35"/>
        <item x="17"/>
        <item x="15"/>
        <item x="95"/>
        <item x="90"/>
        <item x="57"/>
        <item x="5"/>
        <item x="78"/>
        <item x="3"/>
        <item x="47"/>
        <item x="29"/>
        <item x="60"/>
        <item x="46"/>
        <item x="68"/>
        <item x="86"/>
        <item x="42"/>
        <item x="87"/>
        <item x="31"/>
        <item x="32"/>
        <item x="79"/>
        <item x="1"/>
        <item x="51"/>
        <item x="84"/>
        <item x="71"/>
        <item x="97"/>
        <item x="37"/>
        <item x="45"/>
        <item x="70"/>
        <item x="48"/>
        <item x="89"/>
        <item x="81"/>
        <item x="82"/>
        <item x="61"/>
        <item x="83"/>
        <item x="58"/>
        <item x="91"/>
        <item x="27"/>
        <item x="25"/>
        <item x="0"/>
        <item x="92"/>
        <item x="22"/>
        <item x="64"/>
        <item x="14"/>
        <item x="36"/>
        <item x="44"/>
        <item x="52"/>
        <item x="8"/>
        <item x="30"/>
        <item x="88"/>
        <item x="98"/>
        <item x="18"/>
        <item x="73"/>
        <item x="77"/>
        <item x="67"/>
        <item x="96"/>
        <item x="56"/>
        <item x="21"/>
        <item x="19"/>
        <item x="16"/>
        <item x="23"/>
        <item x="72"/>
        <item x="28"/>
        <item x="40"/>
        <item x="59"/>
        <item x="12"/>
        <item x="4"/>
        <item x="63"/>
        <item x="2"/>
        <item x="55"/>
        <item x="53"/>
        <item x="65"/>
        <item x="24"/>
        <item x="69"/>
        <item x="85"/>
        <item x="75"/>
        <item x="26"/>
        <item x="93"/>
        <item x="6"/>
        <item x="62"/>
        <item x="54"/>
        <item x="94"/>
        <item x="13"/>
        <item x="38"/>
        <item x="41"/>
        <item x="9"/>
        <item x="39"/>
        <item x="80"/>
        <item x="43"/>
        <item x="20"/>
        <item x="10"/>
        <item x="66"/>
        <item t="default"/>
      </items>
    </pivotField>
    <pivotField showAll="0"/>
    <pivotField showAll="0"/>
    <pivotField axis="axisRow" showAll="0">
      <items count="7">
        <item sd="0" x="1"/>
        <item sd="0" x="2"/>
        <item sd="0" x="4"/>
        <item sd="0" x="0"/>
        <item sd="0" x="3"/>
        <item sd="0" x="5"/>
        <item t="default"/>
      </items>
    </pivotField>
    <pivotField axis="axisCol" showAll="0">
      <items count="6"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dataField="1" numFmtId="10" showAll="0"/>
    <pivotField numFmtId="176" showAll="0"/>
    <pivotField numFmtId="176" showAll="0"/>
    <pivotField showAll="0"/>
  </pivotFields>
  <rowFields count="2">
    <field x="4"/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5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Average of Difference %" fld="10" subtotal="average" baseField="0" baseItem="0" numFmtId="1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6.xml><?xml version="1.0" encoding="utf-8"?>
<pivotTableDefinition xmlns="http://schemas.openxmlformats.org/spreadsheetml/2006/main" name="PivotTable1" cacheId="9" autoFormatId="1" applyNumberFormats="0" applyBorderFormats="0" applyFontFormats="0" applyPatternFormats="0" applyAlignmentFormats="0" applyWidthHeightFormats="1" dataCaption="Values" updatedVersion="5" minRefreshableVersion="3" createdVersion="8" useAutoFormatting="1" rowGrandTotals="0" colGrandTotals="0" indent="0" outline="1" outlineData="1" showDrill="1" multipleFieldFilters="0">
  <location ref="E42:J48" firstHeaderRow="1" firstDataRow="2" firstDataCol="1"/>
  <pivotFields count="14">
    <pivotField dataField="1" defaultSubtotal="0" showAll="0"/>
    <pivotField defaultSubtotal="0" showAl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</items>
    </pivotField>
    <pivotField axis="axisRow" defaultSubtotal="0" showAll="0">
      <items count="5">
        <item x="1"/>
        <item x="2"/>
        <item x="3"/>
        <item x="0"/>
        <item x="4"/>
      </items>
    </pivotField>
    <pivotField axis="axisCol" defaultSubtotal="0" showAll="0">
      <items count="5">
        <item x="2"/>
        <item x="0"/>
        <item x="3"/>
        <item x="4"/>
        <item x="1"/>
      </items>
    </pivotField>
    <pivotField defaultSubtotal="0" showAll="0">
      <items count="6">
        <item x="0"/>
        <item x="1"/>
        <item x="2"/>
        <item x="3"/>
        <item x="4"/>
        <item x="5"/>
      </items>
    </pivotField>
    <pivotField defaultSubtotal="0" showAll="0">
      <items count="5">
        <item x="0"/>
        <item x="1"/>
        <item x="2"/>
        <item x="3"/>
        <item x="4"/>
      </items>
    </pivotField>
    <pivotField defaultSubtotal="0" showAll="0"/>
    <pivotField defaultSubtotal="0" showAll="0"/>
    <pivotField defaultSubtotal="0" showAl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</items>
    </pivotField>
    <pivotField defaultSubtotal="0" showAll="0"/>
    <pivotField defaultSubtotal="0" numFmtId="10" showAll="0"/>
    <pivotField defaultSubtotal="0" numFmtId="176" showAll="0"/>
    <pivotField defaultSubtotal="0" numFmtId="176" showAll="0"/>
    <pivotField defaultSubtotal="0" showAll="0"/>
  </pivotFields>
  <rowFields count="1">
    <field x="2"/>
  </rowFields>
  <rowItems count="5">
    <i>
      <x/>
    </i>
    <i>
      <x v="1"/>
    </i>
    <i>
      <x v="2"/>
    </i>
    <i>
      <x v="3"/>
    </i>
    <i>
      <x v="4"/>
    </i>
  </rowItems>
  <colFields count="1">
    <field x="3"/>
  </colFields>
  <colItems count="5">
    <i>
      <x/>
    </i>
    <i>
      <x v="1"/>
    </i>
    <i>
      <x v="2"/>
    </i>
    <i>
      <x v="3"/>
    </i>
    <i>
      <x v="4"/>
    </i>
  </colItems>
  <dataFields count="1">
    <dataField name="Count of ID" fld="0" subtotal="count" baseField="2" baseItem="0"/>
  </dataFields>
  <formats count="1">
    <format dxfId="2">
      <pivotArea collapsedLevelsAreSubtotals="1" fieldPosition="0">
        <references count="2">
          <reference field="2" count="1" selected="0">
            <x v="1"/>
          </reference>
          <reference field="3" count="1" selected="0">
            <x v="0"/>
          </reference>
        </references>
      </pivotArea>
    </format>
  </formats>
  <pivotTableStyleInfo name="PivotStylePreset5_Accent3" showRowHeaders="1" showColHeaders="1" showRow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CB" displayName="CB" ref="A1:N101" totalsRowShown="0">
  <autoFilter xmlns:etc="http://www.wps.cn/officeDocument/2017/etCustomData" ref="A1:N101" etc:filterBottomFollowUsedRange="0"/>
  <tableColumns count="14">
    <tableColumn id="1" name="ID"/>
    <tableColumn id="2" name="Name"/>
    <tableColumn id="3" name="Department"/>
    <tableColumn id="4" name="Job Title"/>
    <tableColumn id="5" name="Level"/>
    <tableColumn id="6" name="Location"/>
    <tableColumn id="7" name="Fixed Pay"/>
    <tableColumn id="8" name="Variable Pay"/>
    <tableColumn id="9" name="Total CTC">
      <calculatedColumnFormula>SUM(G2+H2)</calculatedColumnFormula>
    </tableColumn>
    <tableColumn id="10" name="Industry Benchmark"/>
    <tableColumn id="11" name="Difference %" dataDxfId="3">
      <calculatedColumnFormula>(I2-J2)/J2</calculatedColumnFormula>
    </tableColumn>
    <tableColumn id="12" name="Variable Pay %">
      <calculatedColumnFormula>CB[[#This Row],[Variable Pay]]/CB[[#This Row],[Total CTC]]</calculatedColumnFormula>
    </tableColumn>
    <tableColumn id="13" name="Fixed Pay %" dataDxfId="4">
      <calculatedColumnFormula>CB[[#This Row],[Fixed Pay]]/CB[[#This Row],[Total CTC]]</calculatedColumnFormula>
    </tableColumn>
    <tableColumn id="14" name="Benchmark Gap" dataDxfId="5">
      <calculatedColumnFormula>CB[[#This Row],[Total CTC]]-CB[[#This Row],[Industry Benchmark]]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9" Type="http://schemas.openxmlformats.org/officeDocument/2006/relationships/pivotTable" Target="../pivotTables/pivotTable14.xml"/><Relationship Id="rId8" Type="http://schemas.openxmlformats.org/officeDocument/2006/relationships/pivotTable" Target="../pivotTables/pivotTable13.xml"/><Relationship Id="rId7" Type="http://schemas.openxmlformats.org/officeDocument/2006/relationships/pivotTable" Target="../pivotTables/pivotTable12.xml"/><Relationship Id="rId6" Type="http://schemas.openxmlformats.org/officeDocument/2006/relationships/pivotTable" Target="../pivotTables/pivotTable11.xml"/><Relationship Id="rId5" Type="http://schemas.openxmlformats.org/officeDocument/2006/relationships/pivotTable" Target="../pivotTables/pivotTable10.xml"/><Relationship Id="rId4" Type="http://schemas.openxmlformats.org/officeDocument/2006/relationships/pivotTable" Target="../pivotTables/pivotTable9.xml"/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0" Type="http://schemas.openxmlformats.org/officeDocument/2006/relationships/pivotTable" Target="../pivotTables/pivotTable15.xml"/><Relationship Id="rId1" Type="http://schemas.openxmlformats.org/officeDocument/2006/relationships/pivotTable" Target="../pivotTables/pivotTable6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1"/>
  <sheetViews>
    <sheetView showOutlineSymbols="0" tabSelected="1" showWhiteSpace="0" topLeftCell="C1" workbookViewId="0">
      <selection activeCell="K2" sqref="K2"/>
    </sheetView>
  </sheetViews>
  <sheetFormatPr defaultColWidth="9" defaultRowHeight="13.8"/>
  <cols>
    <col min="1" max="1" width="6.4" customWidth="1"/>
    <col min="2" max="2" width="9.7" customWidth="1"/>
    <col min="3" max="3" width="13.2" customWidth="1"/>
    <col min="4" max="4" width="12.1" customWidth="1"/>
    <col min="5" max="5" width="8.4" customWidth="1"/>
    <col min="6" max="6" width="12.1" customWidth="1"/>
    <col min="7" max="7" width="11.4" customWidth="1"/>
    <col min="8" max="8" width="14.6" customWidth="1"/>
    <col min="9" max="9" width="14" customWidth="1"/>
    <col min="10" max="10" width="21.8" customWidth="1"/>
    <col min="11" max="11" width="14.3" customWidth="1"/>
    <col min="12" max="12" width="16.7" customWidth="1"/>
    <col min="13" max="13" width="15.2" customWidth="1"/>
    <col min="14" max="14" width="19.2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1" t="s">
        <v>11</v>
      </c>
      <c r="M1" s="11" t="s">
        <v>12</v>
      </c>
      <c r="N1" s="11" t="s">
        <v>13</v>
      </c>
    </row>
    <row r="2" spans="1:14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65000</v>
      </c>
      <c r="H2">
        <v>16000</v>
      </c>
      <c r="I2">
        <f>SUM(G2+H2)</f>
        <v>81000</v>
      </c>
      <c r="J2">
        <v>200000</v>
      </c>
      <c r="K2" s="12">
        <f>(I2-J2)/J2</f>
        <v>-0.595</v>
      </c>
      <c r="L2" s="6">
        <f>CB[[#This Row],[Variable Pay]]/CB[[#This Row],[Total CTC]]</f>
        <v>0.197530864197531</v>
      </c>
      <c r="M2" s="6">
        <f>CB[[#This Row],[Fixed Pay]]/CB[[#This Row],[Total CTC]]</f>
        <v>0.802469135802469</v>
      </c>
      <c r="N2">
        <f>CB[[#This Row],[Total CTC]]-CB[[#This Row],[Industry Benchmark]]</f>
        <v>-119000</v>
      </c>
    </row>
    <row r="3" spans="1:14">
      <c r="A3">
        <v>2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>
        <v>95000</v>
      </c>
      <c r="H3">
        <v>13000</v>
      </c>
      <c r="I3">
        <f t="shared" ref="I3:I34" si="0">SUM(G3+H3)</f>
        <v>108000</v>
      </c>
      <c r="J3">
        <v>200000</v>
      </c>
      <c r="K3" s="12">
        <f t="shared" ref="K3:K66" si="1">(I3-J3)/J3</f>
        <v>-0.46</v>
      </c>
      <c r="L3" s="6">
        <f>CB[[#This Row],[Variable Pay]]/CB[[#This Row],[Total CTC]]</f>
        <v>0.12037037037037</v>
      </c>
      <c r="M3" s="6">
        <f>CB[[#This Row],[Fixed Pay]]/CB[[#This Row],[Total CTC]]</f>
        <v>0.87962962962963</v>
      </c>
      <c r="N3">
        <f>CB[[#This Row],[Total CTC]]-CB[[#This Row],[Industry Benchmark]]</f>
        <v>-92000</v>
      </c>
    </row>
    <row r="4" spans="1:14">
      <c r="A4">
        <v>3</v>
      </c>
      <c r="B4" t="s">
        <v>24</v>
      </c>
      <c r="C4" t="s">
        <v>15</v>
      </c>
      <c r="D4" t="s">
        <v>25</v>
      </c>
      <c r="E4" t="s">
        <v>26</v>
      </c>
      <c r="F4" t="s">
        <v>23</v>
      </c>
      <c r="G4">
        <v>80000</v>
      </c>
      <c r="H4">
        <v>20000</v>
      </c>
      <c r="I4">
        <f t="shared" si="0"/>
        <v>100000</v>
      </c>
      <c r="J4">
        <v>200000</v>
      </c>
      <c r="K4" s="12">
        <f t="shared" si="1"/>
        <v>-0.5</v>
      </c>
      <c r="L4" s="6">
        <f>CB[[#This Row],[Variable Pay]]/CB[[#This Row],[Total CTC]]</f>
        <v>0.2</v>
      </c>
      <c r="M4" s="6">
        <f>CB[[#This Row],[Fixed Pay]]/CB[[#This Row],[Total CTC]]</f>
        <v>0.8</v>
      </c>
      <c r="N4">
        <f>CB[[#This Row],[Total CTC]]-CB[[#This Row],[Industry Benchmark]]</f>
        <v>-100000</v>
      </c>
    </row>
    <row r="5" spans="1:14">
      <c r="A5">
        <v>4</v>
      </c>
      <c r="B5" t="s">
        <v>27</v>
      </c>
      <c r="C5" t="s">
        <v>15</v>
      </c>
      <c r="D5" t="s">
        <v>16</v>
      </c>
      <c r="E5" t="s">
        <v>17</v>
      </c>
      <c r="F5" t="s">
        <v>18</v>
      </c>
      <c r="G5">
        <v>65000</v>
      </c>
      <c r="H5">
        <v>12000</v>
      </c>
      <c r="I5">
        <f t="shared" si="0"/>
        <v>77000</v>
      </c>
      <c r="J5">
        <v>200000</v>
      </c>
      <c r="K5" s="12">
        <f t="shared" si="1"/>
        <v>-0.615</v>
      </c>
      <c r="L5" s="6">
        <f>CB[[#This Row],[Variable Pay]]/CB[[#This Row],[Total CTC]]</f>
        <v>0.155844155844156</v>
      </c>
      <c r="M5" s="6">
        <f>CB[[#This Row],[Fixed Pay]]/CB[[#This Row],[Total CTC]]</f>
        <v>0.844155844155844</v>
      </c>
      <c r="N5">
        <f>CB[[#This Row],[Total CTC]]-CB[[#This Row],[Industry Benchmark]]</f>
        <v>-123000</v>
      </c>
    </row>
    <row r="6" spans="1:14">
      <c r="A6">
        <v>5</v>
      </c>
      <c r="B6" t="s">
        <v>28</v>
      </c>
      <c r="C6" t="s">
        <v>15</v>
      </c>
      <c r="D6" t="s">
        <v>16</v>
      </c>
      <c r="E6" t="s">
        <v>29</v>
      </c>
      <c r="F6" t="s">
        <v>30</v>
      </c>
      <c r="G6">
        <v>100000</v>
      </c>
      <c r="H6">
        <v>15000</v>
      </c>
      <c r="I6">
        <f t="shared" si="0"/>
        <v>115000</v>
      </c>
      <c r="J6">
        <v>135000</v>
      </c>
      <c r="K6" s="12">
        <f t="shared" si="1"/>
        <v>-0.148148148148148</v>
      </c>
      <c r="L6" s="6">
        <f>CB[[#This Row],[Variable Pay]]/CB[[#This Row],[Total CTC]]</f>
        <v>0.130434782608696</v>
      </c>
      <c r="M6" s="6">
        <f>CB[[#This Row],[Fixed Pay]]/CB[[#This Row],[Total CTC]]</f>
        <v>0.869565217391304</v>
      </c>
      <c r="N6">
        <f>CB[[#This Row],[Total CTC]]-CB[[#This Row],[Industry Benchmark]]</f>
        <v>-20000</v>
      </c>
    </row>
    <row r="7" spans="1:14">
      <c r="A7">
        <v>6</v>
      </c>
      <c r="B7" t="s">
        <v>31</v>
      </c>
      <c r="C7" t="s">
        <v>32</v>
      </c>
      <c r="D7" t="s">
        <v>16</v>
      </c>
      <c r="E7" t="s">
        <v>33</v>
      </c>
      <c r="F7" t="s">
        <v>30</v>
      </c>
      <c r="G7">
        <v>55000</v>
      </c>
      <c r="H7">
        <v>12000</v>
      </c>
      <c r="I7">
        <f t="shared" si="0"/>
        <v>67000</v>
      </c>
      <c r="J7">
        <v>150000</v>
      </c>
      <c r="K7" s="12">
        <f t="shared" si="1"/>
        <v>-0.553333333333333</v>
      </c>
      <c r="L7" s="6">
        <f>CB[[#This Row],[Variable Pay]]/CB[[#This Row],[Total CTC]]</f>
        <v>0.17910447761194</v>
      </c>
      <c r="M7" s="6">
        <f>CB[[#This Row],[Fixed Pay]]/CB[[#This Row],[Total CTC]]</f>
        <v>0.82089552238806</v>
      </c>
      <c r="N7">
        <f>CB[[#This Row],[Total CTC]]-CB[[#This Row],[Industry Benchmark]]</f>
        <v>-83000</v>
      </c>
    </row>
    <row r="8" spans="1:14">
      <c r="A8">
        <v>7</v>
      </c>
      <c r="B8" t="s">
        <v>34</v>
      </c>
      <c r="C8" t="s">
        <v>15</v>
      </c>
      <c r="D8" t="s">
        <v>16</v>
      </c>
      <c r="E8" t="s">
        <v>33</v>
      </c>
      <c r="F8" t="s">
        <v>30</v>
      </c>
      <c r="G8">
        <v>90000</v>
      </c>
      <c r="H8">
        <v>12000</v>
      </c>
      <c r="I8">
        <f t="shared" si="0"/>
        <v>102000</v>
      </c>
      <c r="J8">
        <v>150000</v>
      </c>
      <c r="K8" s="12">
        <f t="shared" si="1"/>
        <v>-0.32</v>
      </c>
      <c r="L8" s="6">
        <f>CB[[#This Row],[Variable Pay]]/CB[[#This Row],[Total CTC]]</f>
        <v>0.117647058823529</v>
      </c>
      <c r="M8" s="6">
        <f>CB[[#This Row],[Fixed Pay]]/CB[[#This Row],[Total CTC]]</f>
        <v>0.882352941176471</v>
      </c>
      <c r="N8">
        <f>CB[[#This Row],[Total CTC]]-CB[[#This Row],[Industry Benchmark]]</f>
        <v>-48000</v>
      </c>
    </row>
    <row r="9" spans="1:14">
      <c r="A9">
        <v>8</v>
      </c>
      <c r="B9" t="s">
        <v>35</v>
      </c>
      <c r="C9" t="s">
        <v>36</v>
      </c>
      <c r="D9" t="s">
        <v>37</v>
      </c>
      <c r="E9" t="s">
        <v>22</v>
      </c>
      <c r="F9" t="s">
        <v>38</v>
      </c>
      <c r="G9">
        <v>80000</v>
      </c>
      <c r="H9">
        <v>10000</v>
      </c>
      <c r="I9">
        <f t="shared" si="0"/>
        <v>90000</v>
      </c>
      <c r="J9">
        <v>135000</v>
      </c>
      <c r="K9" s="12">
        <f t="shared" si="1"/>
        <v>-0.333333333333333</v>
      </c>
      <c r="L9" s="6">
        <f>CB[[#This Row],[Variable Pay]]/CB[[#This Row],[Total CTC]]</f>
        <v>0.111111111111111</v>
      </c>
      <c r="M9" s="6">
        <f>CB[[#This Row],[Fixed Pay]]/CB[[#This Row],[Total CTC]]</f>
        <v>0.888888888888889</v>
      </c>
      <c r="N9">
        <f>CB[[#This Row],[Total CTC]]-CB[[#This Row],[Industry Benchmark]]</f>
        <v>-45000</v>
      </c>
    </row>
    <row r="10" spans="1:14">
      <c r="A10">
        <v>9</v>
      </c>
      <c r="B10" t="s">
        <v>39</v>
      </c>
      <c r="C10" t="s">
        <v>15</v>
      </c>
      <c r="D10" t="s">
        <v>37</v>
      </c>
      <c r="E10" t="s">
        <v>29</v>
      </c>
      <c r="F10" t="s">
        <v>40</v>
      </c>
      <c r="G10">
        <v>65000</v>
      </c>
      <c r="H10">
        <v>14000</v>
      </c>
      <c r="I10">
        <f t="shared" si="0"/>
        <v>79000</v>
      </c>
      <c r="J10">
        <v>135000</v>
      </c>
      <c r="K10" s="12">
        <f t="shared" si="1"/>
        <v>-0.414814814814815</v>
      </c>
      <c r="L10" s="6">
        <f>CB[[#This Row],[Variable Pay]]/CB[[#This Row],[Total CTC]]</f>
        <v>0.177215189873418</v>
      </c>
      <c r="M10" s="6">
        <f>CB[[#This Row],[Fixed Pay]]/CB[[#This Row],[Total CTC]]</f>
        <v>0.822784810126582</v>
      </c>
      <c r="N10">
        <f>CB[[#This Row],[Total CTC]]-CB[[#This Row],[Industry Benchmark]]</f>
        <v>-56000</v>
      </c>
    </row>
    <row r="11" spans="1:14">
      <c r="A11">
        <v>10</v>
      </c>
      <c r="B11" t="s">
        <v>41</v>
      </c>
      <c r="C11" t="s">
        <v>36</v>
      </c>
      <c r="D11" t="s">
        <v>37</v>
      </c>
      <c r="E11" t="s">
        <v>33</v>
      </c>
      <c r="F11" t="s">
        <v>23</v>
      </c>
      <c r="G11">
        <v>90000</v>
      </c>
      <c r="H11">
        <v>11000</v>
      </c>
      <c r="I11">
        <f t="shared" si="0"/>
        <v>101000</v>
      </c>
      <c r="J11">
        <v>160000</v>
      </c>
      <c r="K11" s="12">
        <f t="shared" si="1"/>
        <v>-0.36875</v>
      </c>
      <c r="L11" s="6">
        <f>CB[[#This Row],[Variable Pay]]/CB[[#This Row],[Total CTC]]</f>
        <v>0.108910891089109</v>
      </c>
      <c r="M11" s="6">
        <f>CB[[#This Row],[Fixed Pay]]/CB[[#This Row],[Total CTC]]</f>
        <v>0.891089108910891</v>
      </c>
      <c r="N11">
        <f>CB[[#This Row],[Total CTC]]-CB[[#This Row],[Industry Benchmark]]</f>
        <v>-59000</v>
      </c>
    </row>
    <row r="12" spans="1:14">
      <c r="A12">
        <v>11</v>
      </c>
      <c r="B12" t="s">
        <v>42</v>
      </c>
      <c r="C12" t="s">
        <v>15</v>
      </c>
      <c r="D12" t="s">
        <v>16</v>
      </c>
      <c r="E12" t="s">
        <v>17</v>
      </c>
      <c r="F12" t="s">
        <v>23</v>
      </c>
      <c r="G12">
        <v>55000</v>
      </c>
      <c r="H12">
        <v>15000</v>
      </c>
      <c r="I12">
        <f t="shared" si="0"/>
        <v>70000</v>
      </c>
      <c r="J12">
        <v>140000</v>
      </c>
      <c r="K12" s="12">
        <f t="shared" si="1"/>
        <v>-0.5</v>
      </c>
      <c r="L12" s="6">
        <f>CB[[#This Row],[Variable Pay]]/CB[[#This Row],[Total CTC]]</f>
        <v>0.214285714285714</v>
      </c>
      <c r="M12" s="6">
        <f>CB[[#This Row],[Fixed Pay]]/CB[[#This Row],[Total CTC]]</f>
        <v>0.785714285714286</v>
      </c>
      <c r="N12">
        <f>CB[[#This Row],[Total CTC]]-CB[[#This Row],[Industry Benchmark]]</f>
        <v>-70000</v>
      </c>
    </row>
    <row r="13" spans="1:14">
      <c r="A13">
        <v>12</v>
      </c>
      <c r="B13" t="s">
        <v>43</v>
      </c>
      <c r="C13" t="s">
        <v>32</v>
      </c>
      <c r="D13" t="s">
        <v>37</v>
      </c>
      <c r="E13" t="s">
        <v>29</v>
      </c>
      <c r="F13" t="s">
        <v>40</v>
      </c>
      <c r="G13">
        <v>80000</v>
      </c>
      <c r="H13">
        <v>18000</v>
      </c>
      <c r="I13">
        <f t="shared" si="0"/>
        <v>98000</v>
      </c>
      <c r="J13">
        <v>150000</v>
      </c>
      <c r="K13" s="12">
        <f t="shared" si="1"/>
        <v>-0.346666666666667</v>
      </c>
      <c r="L13" s="6">
        <f>CB[[#This Row],[Variable Pay]]/CB[[#This Row],[Total CTC]]</f>
        <v>0.183673469387755</v>
      </c>
      <c r="M13" s="6">
        <f>CB[[#This Row],[Fixed Pay]]/CB[[#This Row],[Total CTC]]</f>
        <v>0.816326530612245</v>
      </c>
      <c r="N13">
        <f>CB[[#This Row],[Total CTC]]-CB[[#This Row],[Industry Benchmark]]</f>
        <v>-52000</v>
      </c>
    </row>
    <row r="14" spans="1:14">
      <c r="A14">
        <v>13</v>
      </c>
      <c r="B14" t="s">
        <v>44</v>
      </c>
      <c r="C14" t="s">
        <v>45</v>
      </c>
      <c r="D14" t="s">
        <v>46</v>
      </c>
      <c r="E14" t="s">
        <v>47</v>
      </c>
      <c r="F14" t="s">
        <v>40</v>
      </c>
      <c r="G14">
        <v>50000</v>
      </c>
      <c r="H14">
        <v>12000</v>
      </c>
      <c r="I14">
        <f t="shared" si="0"/>
        <v>62000</v>
      </c>
      <c r="J14">
        <v>220000</v>
      </c>
      <c r="K14" s="12">
        <f t="shared" si="1"/>
        <v>-0.718181818181818</v>
      </c>
      <c r="L14" s="6">
        <f>CB[[#This Row],[Variable Pay]]/CB[[#This Row],[Total CTC]]</f>
        <v>0.193548387096774</v>
      </c>
      <c r="M14" s="6">
        <f>CB[[#This Row],[Fixed Pay]]/CB[[#This Row],[Total CTC]]</f>
        <v>0.806451612903226</v>
      </c>
      <c r="N14">
        <f>CB[[#This Row],[Total CTC]]-CB[[#This Row],[Industry Benchmark]]</f>
        <v>-158000</v>
      </c>
    </row>
    <row r="15" spans="1:14">
      <c r="A15">
        <v>14</v>
      </c>
      <c r="B15" t="s">
        <v>48</v>
      </c>
      <c r="C15" t="s">
        <v>45</v>
      </c>
      <c r="D15" t="s">
        <v>25</v>
      </c>
      <c r="E15" t="s">
        <v>33</v>
      </c>
      <c r="F15" t="s">
        <v>38</v>
      </c>
      <c r="G15">
        <v>100000</v>
      </c>
      <c r="H15">
        <v>18000</v>
      </c>
      <c r="I15">
        <f t="shared" si="0"/>
        <v>118000</v>
      </c>
      <c r="J15">
        <v>120000</v>
      </c>
      <c r="K15" s="12">
        <f t="shared" si="1"/>
        <v>-0.0166666666666667</v>
      </c>
      <c r="L15" s="6">
        <f>CB[[#This Row],[Variable Pay]]/CB[[#This Row],[Total CTC]]</f>
        <v>0.152542372881356</v>
      </c>
      <c r="M15" s="6">
        <f>CB[[#This Row],[Fixed Pay]]/CB[[#This Row],[Total CTC]]</f>
        <v>0.847457627118644</v>
      </c>
      <c r="N15">
        <f>CB[[#This Row],[Total CTC]]-CB[[#This Row],[Industry Benchmark]]</f>
        <v>-2000</v>
      </c>
    </row>
    <row r="16" spans="1:14">
      <c r="A16">
        <v>15</v>
      </c>
      <c r="B16" t="s">
        <v>49</v>
      </c>
      <c r="C16" t="s">
        <v>20</v>
      </c>
      <c r="D16" t="s">
        <v>21</v>
      </c>
      <c r="E16" t="s">
        <v>29</v>
      </c>
      <c r="F16" t="s">
        <v>23</v>
      </c>
      <c r="G16">
        <v>75000</v>
      </c>
      <c r="H16">
        <v>15000</v>
      </c>
      <c r="I16">
        <f t="shared" si="0"/>
        <v>90000</v>
      </c>
      <c r="J16">
        <v>120000</v>
      </c>
      <c r="K16" s="12">
        <f t="shared" si="1"/>
        <v>-0.25</v>
      </c>
      <c r="L16" s="6">
        <f>CB[[#This Row],[Variable Pay]]/CB[[#This Row],[Total CTC]]</f>
        <v>0.166666666666667</v>
      </c>
      <c r="M16" s="6">
        <f>CB[[#This Row],[Fixed Pay]]/CB[[#This Row],[Total CTC]]</f>
        <v>0.833333333333333</v>
      </c>
      <c r="N16">
        <f>CB[[#This Row],[Total CTC]]-CB[[#This Row],[Industry Benchmark]]</f>
        <v>-30000</v>
      </c>
    </row>
    <row r="17" spans="1:14">
      <c r="A17">
        <v>16</v>
      </c>
      <c r="B17" t="s">
        <v>50</v>
      </c>
      <c r="C17" t="s">
        <v>36</v>
      </c>
      <c r="D17" t="s">
        <v>46</v>
      </c>
      <c r="E17" t="s">
        <v>26</v>
      </c>
      <c r="F17" t="s">
        <v>18</v>
      </c>
      <c r="G17">
        <v>65000</v>
      </c>
      <c r="H17">
        <v>12000</v>
      </c>
      <c r="I17">
        <f t="shared" si="0"/>
        <v>77000</v>
      </c>
      <c r="J17">
        <v>160000</v>
      </c>
      <c r="K17" s="12">
        <f t="shared" si="1"/>
        <v>-0.51875</v>
      </c>
      <c r="L17" s="6">
        <f>CB[[#This Row],[Variable Pay]]/CB[[#This Row],[Total CTC]]</f>
        <v>0.155844155844156</v>
      </c>
      <c r="M17" s="6">
        <f>CB[[#This Row],[Fixed Pay]]/CB[[#This Row],[Total CTC]]</f>
        <v>0.844155844155844</v>
      </c>
      <c r="N17">
        <f>CB[[#This Row],[Total CTC]]-CB[[#This Row],[Industry Benchmark]]</f>
        <v>-83000</v>
      </c>
    </row>
    <row r="18" spans="1:14">
      <c r="A18">
        <v>17</v>
      </c>
      <c r="B18" t="s">
        <v>51</v>
      </c>
      <c r="C18" t="s">
        <v>32</v>
      </c>
      <c r="D18" t="s">
        <v>37</v>
      </c>
      <c r="E18" t="s">
        <v>22</v>
      </c>
      <c r="F18" t="s">
        <v>38</v>
      </c>
      <c r="G18">
        <v>95000</v>
      </c>
      <c r="H18">
        <v>12000</v>
      </c>
      <c r="I18">
        <f t="shared" si="0"/>
        <v>107000</v>
      </c>
      <c r="J18">
        <v>182500</v>
      </c>
      <c r="K18" s="12">
        <f t="shared" si="1"/>
        <v>-0.413698630136986</v>
      </c>
      <c r="L18" s="6">
        <f>CB[[#This Row],[Variable Pay]]/CB[[#This Row],[Total CTC]]</f>
        <v>0.11214953271028</v>
      </c>
      <c r="M18" s="6">
        <f>CB[[#This Row],[Fixed Pay]]/CB[[#This Row],[Total CTC]]</f>
        <v>0.88785046728972</v>
      </c>
      <c r="N18">
        <f>CB[[#This Row],[Total CTC]]-CB[[#This Row],[Industry Benchmark]]</f>
        <v>-75500</v>
      </c>
    </row>
    <row r="19" spans="1:14">
      <c r="A19">
        <v>18</v>
      </c>
      <c r="B19" t="s">
        <v>52</v>
      </c>
      <c r="C19" t="s">
        <v>15</v>
      </c>
      <c r="D19" t="s">
        <v>46</v>
      </c>
      <c r="E19" t="s">
        <v>29</v>
      </c>
      <c r="F19" t="s">
        <v>23</v>
      </c>
      <c r="G19">
        <v>50000</v>
      </c>
      <c r="H19">
        <v>10000</v>
      </c>
      <c r="I19">
        <f t="shared" si="0"/>
        <v>60000</v>
      </c>
      <c r="J19">
        <v>120000</v>
      </c>
      <c r="K19" s="12">
        <f t="shared" si="1"/>
        <v>-0.5</v>
      </c>
      <c r="L19" s="6">
        <f>CB[[#This Row],[Variable Pay]]/CB[[#This Row],[Total CTC]]</f>
        <v>0.166666666666667</v>
      </c>
      <c r="M19" s="6">
        <f>CB[[#This Row],[Fixed Pay]]/CB[[#This Row],[Total CTC]]</f>
        <v>0.833333333333333</v>
      </c>
      <c r="N19">
        <f>CB[[#This Row],[Total CTC]]-CB[[#This Row],[Industry Benchmark]]</f>
        <v>-60000</v>
      </c>
    </row>
    <row r="20" spans="1:14">
      <c r="A20">
        <v>19</v>
      </c>
      <c r="B20" t="s">
        <v>53</v>
      </c>
      <c r="C20" t="s">
        <v>32</v>
      </c>
      <c r="D20" t="s">
        <v>37</v>
      </c>
      <c r="E20" t="s">
        <v>29</v>
      </c>
      <c r="F20" t="s">
        <v>30</v>
      </c>
      <c r="G20">
        <v>65000</v>
      </c>
      <c r="H20">
        <v>12000</v>
      </c>
      <c r="I20">
        <f t="shared" si="0"/>
        <v>77000</v>
      </c>
      <c r="J20">
        <v>182500</v>
      </c>
      <c r="K20" s="12">
        <f t="shared" si="1"/>
        <v>-0.578082191780822</v>
      </c>
      <c r="L20" s="6">
        <f>CB[[#This Row],[Variable Pay]]/CB[[#This Row],[Total CTC]]</f>
        <v>0.155844155844156</v>
      </c>
      <c r="M20" s="6">
        <f>CB[[#This Row],[Fixed Pay]]/CB[[#This Row],[Total CTC]]</f>
        <v>0.844155844155844</v>
      </c>
      <c r="N20">
        <f>CB[[#This Row],[Total CTC]]-CB[[#This Row],[Industry Benchmark]]</f>
        <v>-105500</v>
      </c>
    </row>
    <row r="21" spans="1:14">
      <c r="A21">
        <v>20</v>
      </c>
      <c r="B21" t="s">
        <v>54</v>
      </c>
      <c r="C21" t="s">
        <v>36</v>
      </c>
      <c r="D21" t="s">
        <v>37</v>
      </c>
      <c r="E21" t="s">
        <v>29</v>
      </c>
      <c r="F21" t="s">
        <v>30</v>
      </c>
      <c r="G21">
        <v>80000</v>
      </c>
      <c r="H21">
        <v>12000</v>
      </c>
      <c r="I21">
        <f t="shared" si="0"/>
        <v>92000</v>
      </c>
      <c r="J21">
        <v>100000</v>
      </c>
      <c r="K21" s="12">
        <f t="shared" si="1"/>
        <v>-0.08</v>
      </c>
      <c r="L21" s="6">
        <f>CB[[#This Row],[Variable Pay]]/CB[[#This Row],[Total CTC]]</f>
        <v>0.130434782608696</v>
      </c>
      <c r="M21" s="6">
        <f>CB[[#This Row],[Fixed Pay]]/CB[[#This Row],[Total CTC]]</f>
        <v>0.869565217391304</v>
      </c>
      <c r="N21">
        <f>CB[[#This Row],[Total CTC]]-CB[[#This Row],[Industry Benchmark]]</f>
        <v>-8000</v>
      </c>
    </row>
    <row r="22" spans="1:14">
      <c r="A22">
        <v>21</v>
      </c>
      <c r="B22" t="s">
        <v>55</v>
      </c>
      <c r="C22" t="s">
        <v>45</v>
      </c>
      <c r="D22" t="s">
        <v>16</v>
      </c>
      <c r="E22" t="s">
        <v>47</v>
      </c>
      <c r="F22" t="s">
        <v>18</v>
      </c>
      <c r="G22">
        <v>75000</v>
      </c>
      <c r="H22">
        <v>12000</v>
      </c>
      <c r="I22">
        <f t="shared" si="0"/>
        <v>87000</v>
      </c>
      <c r="J22">
        <v>120000</v>
      </c>
      <c r="K22" s="12">
        <f t="shared" si="1"/>
        <v>-0.275</v>
      </c>
      <c r="L22" s="6">
        <f>CB[[#This Row],[Variable Pay]]/CB[[#This Row],[Total CTC]]</f>
        <v>0.137931034482759</v>
      </c>
      <c r="M22" s="6">
        <f>CB[[#This Row],[Fixed Pay]]/CB[[#This Row],[Total CTC]]</f>
        <v>0.862068965517241</v>
      </c>
      <c r="N22">
        <f>CB[[#This Row],[Total CTC]]-CB[[#This Row],[Industry Benchmark]]</f>
        <v>-33000</v>
      </c>
    </row>
    <row r="23" spans="1:14">
      <c r="A23">
        <v>22</v>
      </c>
      <c r="B23" t="s">
        <v>56</v>
      </c>
      <c r="C23" t="s">
        <v>15</v>
      </c>
      <c r="D23" t="s">
        <v>21</v>
      </c>
      <c r="E23" t="s">
        <v>26</v>
      </c>
      <c r="F23" t="s">
        <v>40</v>
      </c>
      <c r="G23">
        <v>95000</v>
      </c>
      <c r="H23">
        <v>13000</v>
      </c>
      <c r="I23">
        <f t="shared" si="0"/>
        <v>108000</v>
      </c>
      <c r="J23">
        <v>200000</v>
      </c>
      <c r="K23" s="12">
        <f t="shared" si="1"/>
        <v>-0.46</v>
      </c>
      <c r="L23" s="6">
        <f>CB[[#This Row],[Variable Pay]]/CB[[#This Row],[Total CTC]]</f>
        <v>0.12037037037037</v>
      </c>
      <c r="M23" s="6">
        <f>CB[[#This Row],[Fixed Pay]]/CB[[#This Row],[Total CTC]]</f>
        <v>0.87962962962963</v>
      </c>
      <c r="N23">
        <f>CB[[#This Row],[Total CTC]]-CB[[#This Row],[Industry Benchmark]]</f>
        <v>-92000</v>
      </c>
    </row>
    <row r="24" spans="1:14">
      <c r="A24">
        <v>23</v>
      </c>
      <c r="B24" t="s">
        <v>57</v>
      </c>
      <c r="C24" t="s">
        <v>36</v>
      </c>
      <c r="D24" t="s">
        <v>37</v>
      </c>
      <c r="E24" t="s">
        <v>26</v>
      </c>
      <c r="F24" t="s">
        <v>23</v>
      </c>
      <c r="G24">
        <v>65000</v>
      </c>
      <c r="H24">
        <v>14000</v>
      </c>
      <c r="I24">
        <f t="shared" si="0"/>
        <v>79000</v>
      </c>
      <c r="J24">
        <v>160000</v>
      </c>
      <c r="K24" s="12">
        <f t="shared" si="1"/>
        <v>-0.50625</v>
      </c>
      <c r="L24" s="6">
        <f>CB[[#This Row],[Variable Pay]]/CB[[#This Row],[Total CTC]]</f>
        <v>0.177215189873418</v>
      </c>
      <c r="M24" s="6">
        <f>CB[[#This Row],[Fixed Pay]]/CB[[#This Row],[Total CTC]]</f>
        <v>0.822784810126582</v>
      </c>
      <c r="N24">
        <f>CB[[#This Row],[Total CTC]]-CB[[#This Row],[Industry Benchmark]]</f>
        <v>-81000</v>
      </c>
    </row>
    <row r="25" spans="1:14">
      <c r="A25">
        <v>24</v>
      </c>
      <c r="B25" t="s">
        <v>58</v>
      </c>
      <c r="C25" t="s">
        <v>32</v>
      </c>
      <c r="D25" t="s">
        <v>37</v>
      </c>
      <c r="E25" t="s">
        <v>22</v>
      </c>
      <c r="F25" t="s">
        <v>30</v>
      </c>
      <c r="G25">
        <v>80000</v>
      </c>
      <c r="H25">
        <v>15000</v>
      </c>
      <c r="I25">
        <f t="shared" si="0"/>
        <v>95000</v>
      </c>
      <c r="J25">
        <v>140000</v>
      </c>
      <c r="K25" s="12">
        <f t="shared" si="1"/>
        <v>-0.321428571428571</v>
      </c>
      <c r="L25" s="6">
        <f>CB[[#This Row],[Variable Pay]]/CB[[#This Row],[Total CTC]]</f>
        <v>0.157894736842105</v>
      </c>
      <c r="M25" s="6">
        <f>CB[[#This Row],[Fixed Pay]]/CB[[#This Row],[Total CTC]]</f>
        <v>0.842105263157895</v>
      </c>
      <c r="N25">
        <f>CB[[#This Row],[Total CTC]]-CB[[#This Row],[Industry Benchmark]]</f>
        <v>-45000</v>
      </c>
    </row>
    <row r="26" spans="1:14">
      <c r="A26">
        <v>25</v>
      </c>
      <c r="B26" t="s">
        <v>59</v>
      </c>
      <c r="C26" t="s">
        <v>15</v>
      </c>
      <c r="D26" t="s">
        <v>37</v>
      </c>
      <c r="E26" t="s">
        <v>33</v>
      </c>
      <c r="F26" t="s">
        <v>18</v>
      </c>
      <c r="G26">
        <v>50000</v>
      </c>
      <c r="H26">
        <v>15000</v>
      </c>
      <c r="I26">
        <f t="shared" si="0"/>
        <v>65000</v>
      </c>
      <c r="J26">
        <v>150000</v>
      </c>
      <c r="K26" s="12">
        <f t="shared" si="1"/>
        <v>-0.566666666666667</v>
      </c>
      <c r="L26" s="6">
        <f>CB[[#This Row],[Variable Pay]]/CB[[#This Row],[Total CTC]]</f>
        <v>0.230769230769231</v>
      </c>
      <c r="M26" s="6">
        <f>CB[[#This Row],[Fixed Pay]]/CB[[#This Row],[Total CTC]]</f>
        <v>0.769230769230769</v>
      </c>
      <c r="N26">
        <f>CB[[#This Row],[Total CTC]]-CB[[#This Row],[Industry Benchmark]]</f>
        <v>-85000</v>
      </c>
    </row>
    <row r="27" spans="1:14">
      <c r="A27">
        <v>26</v>
      </c>
      <c r="B27" t="s">
        <v>60</v>
      </c>
      <c r="C27" t="s">
        <v>20</v>
      </c>
      <c r="D27" t="s">
        <v>25</v>
      </c>
      <c r="E27" t="s">
        <v>47</v>
      </c>
      <c r="F27" t="s">
        <v>23</v>
      </c>
      <c r="G27">
        <v>100000</v>
      </c>
      <c r="H27">
        <v>18000</v>
      </c>
      <c r="I27">
        <f t="shared" si="0"/>
        <v>118000</v>
      </c>
      <c r="J27">
        <v>150000</v>
      </c>
      <c r="K27" s="12">
        <f t="shared" si="1"/>
        <v>-0.213333333333333</v>
      </c>
      <c r="L27" s="6">
        <f>CB[[#This Row],[Variable Pay]]/CB[[#This Row],[Total CTC]]</f>
        <v>0.152542372881356</v>
      </c>
      <c r="M27" s="6">
        <f>CB[[#This Row],[Fixed Pay]]/CB[[#This Row],[Total CTC]]</f>
        <v>0.847457627118644</v>
      </c>
      <c r="N27">
        <f>CB[[#This Row],[Total CTC]]-CB[[#This Row],[Industry Benchmark]]</f>
        <v>-32000</v>
      </c>
    </row>
    <row r="28" spans="1:14">
      <c r="A28">
        <v>27</v>
      </c>
      <c r="B28" t="s">
        <v>61</v>
      </c>
      <c r="C28" t="s">
        <v>32</v>
      </c>
      <c r="D28" t="s">
        <v>21</v>
      </c>
      <c r="E28" t="s">
        <v>47</v>
      </c>
      <c r="F28" t="s">
        <v>18</v>
      </c>
      <c r="G28">
        <v>90000</v>
      </c>
      <c r="H28">
        <v>15000</v>
      </c>
      <c r="I28">
        <f t="shared" si="0"/>
        <v>105000</v>
      </c>
      <c r="J28">
        <v>150000</v>
      </c>
      <c r="K28" s="12">
        <f t="shared" si="1"/>
        <v>-0.3</v>
      </c>
      <c r="L28" s="6">
        <f>CB[[#This Row],[Variable Pay]]/CB[[#This Row],[Total CTC]]</f>
        <v>0.142857142857143</v>
      </c>
      <c r="M28" s="6">
        <f>CB[[#This Row],[Fixed Pay]]/CB[[#This Row],[Total CTC]]</f>
        <v>0.857142857142857</v>
      </c>
      <c r="N28">
        <f>CB[[#This Row],[Total CTC]]-CB[[#This Row],[Industry Benchmark]]</f>
        <v>-45000</v>
      </c>
    </row>
    <row r="29" spans="1:14">
      <c r="A29">
        <v>28</v>
      </c>
      <c r="B29" t="s">
        <v>62</v>
      </c>
      <c r="C29" t="s">
        <v>36</v>
      </c>
      <c r="D29" t="s">
        <v>21</v>
      </c>
      <c r="E29" t="s">
        <v>17</v>
      </c>
      <c r="F29" t="s">
        <v>38</v>
      </c>
      <c r="G29">
        <v>80000</v>
      </c>
      <c r="H29">
        <v>12000</v>
      </c>
      <c r="I29">
        <f t="shared" si="0"/>
        <v>92000</v>
      </c>
      <c r="J29">
        <v>140000</v>
      </c>
      <c r="K29" s="12">
        <f t="shared" si="1"/>
        <v>-0.342857142857143</v>
      </c>
      <c r="L29" s="6">
        <f>CB[[#This Row],[Variable Pay]]/CB[[#This Row],[Total CTC]]</f>
        <v>0.130434782608696</v>
      </c>
      <c r="M29" s="6">
        <f>CB[[#This Row],[Fixed Pay]]/CB[[#This Row],[Total CTC]]</f>
        <v>0.869565217391304</v>
      </c>
      <c r="N29">
        <f>CB[[#This Row],[Total CTC]]-CB[[#This Row],[Industry Benchmark]]</f>
        <v>-48000</v>
      </c>
    </row>
    <row r="30" spans="1:14">
      <c r="A30">
        <v>29</v>
      </c>
      <c r="B30" t="s">
        <v>63</v>
      </c>
      <c r="C30" t="s">
        <v>15</v>
      </c>
      <c r="D30" t="s">
        <v>46</v>
      </c>
      <c r="E30" t="s">
        <v>47</v>
      </c>
      <c r="F30" t="s">
        <v>38</v>
      </c>
      <c r="G30">
        <v>65000</v>
      </c>
      <c r="H30">
        <v>16000</v>
      </c>
      <c r="I30">
        <f t="shared" si="0"/>
        <v>81000</v>
      </c>
      <c r="J30">
        <v>220000</v>
      </c>
      <c r="K30" s="12">
        <f t="shared" si="1"/>
        <v>-0.631818181818182</v>
      </c>
      <c r="L30" s="6">
        <f>CB[[#This Row],[Variable Pay]]/CB[[#This Row],[Total CTC]]</f>
        <v>0.197530864197531</v>
      </c>
      <c r="M30" s="6">
        <f>CB[[#This Row],[Fixed Pay]]/CB[[#This Row],[Total CTC]]</f>
        <v>0.802469135802469</v>
      </c>
      <c r="N30">
        <f>CB[[#This Row],[Total CTC]]-CB[[#This Row],[Industry Benchmark]]</f>
        <v>-139000</v>
      </c>
    </row>
    <row r="31" spans="1:14">
      <c r="A31">
        <v>30</v>
      </c>
      <c r="B31" t="s">
        <v>64</v>
      </c>
      <c r="C31" t="s">
        <v>15</v>
      </c>
      <c r="D31" t="s">
        <v>25</v>
      </c>
      <c r="E31" t="s">
        <v>22</v>
      </c>
      <c r="F31" t="s">
        <v>38</v>
      </c>
      <c r="G31">
        <v>65000</v>
      </c>
      <c r="H31">
        <v>12000</v>
      </c>
      <c r="I31">
        <f t="shared" si="0"/>
        <v>77000</v>
      </c>
      <c r="J31">
        <v>160000</v>
      </c>
      <c r="K31" s="12">
        <f t="shared" si="1"/>
        <v>-0.51875</v>
      </c>
      <c r="L31" s="6">
        <f>CB[[#This Row],[Variable Pay]]/CB[[#This Row],[Total CTC]]</f>
        <v>0.155844155844156</v>
      </c>
      <c r="M31" s="6">
        <f>CB[[#This Row],[Fixed Pay]]/CB[[#This Row],[Total CTC]]</f>
        <v>0.844155844155844</v>
      </c>
      <c r="N31">
        <f>CB[[#This Row],[Total CTC]]-CB[[#This Row],[Industry Benchmark]]</f>
        <v>-83000</v>
      </c>
    </row>
    <row r="32" spans="1:14">
      <c r="A32">
        <v>31</v>
      </c>
      <c r="B32" t="s">
        <v>65</v>
      </c>
      <c r="C32" t="s">
        <v>15</v>
      </c>
      <c r="D32" t="s">
        <v>25</v>
      </c>
      <c r="E32" t="s">
        <v>26</v>
      </c>
      <c r="F32" t="s">
        <v>40</v>
      </c>
      <c r="G32">
        <v>80000</v>
      </c>
      <c r="H32">
        <v>20000</v>
      </c>
      <c r="I32">
        <f t="shared" si="0"/>
        <v>100000</v>
      </c>
      <c r="J32">
        <v>200000</v>
      </c>
      <c r="K32" s="12">
        <f t="shared" si="1"/>
        <v>-0.5</v>
      </c>
      <c r="L32" s="6">
        <f>CB[[#This Row],[Variable Pay]]/CB[[#This Row],[Total CTC]]</f>
        <v>0.2</v>
      </c>
      <c r="M32" s="6">
        <f>CB[[#This Row],[Fixed Pay]]/CB[[#This Row],[Total CTC]]</f>
        <v>0.8</v>
      </c>
      <c r="N32">
        <f>CB[[#This Row],[Total CTC]]-CB[[#This Row],[Industry Benchmark]]</f>
        <v>-100000</v>
      </c>
    </row>
    <row r="33" spans="1:14">
      <c r="A33">
        <v>32</v>
      </c>
      <c r="B33" t="s">
        <v>66</v>
      </c>
      <c r="C33" t="s">
        <v>15</v>
      </c>
      <c r="D33" t="s">
        <v>16</v>
      </c>
      <c r="E33" t="s">
        <v>26</v>
      </c>
      <c r="F33" t="s">
        <v>38</v>
      </c>
      <c r="G33">
        <v>65000</v>
      </c>
      <c r="H33">
        <v>15000</v>
      </c>
      <c r="I33">
        <f t="shared" si="0"/>
        <v>80000</v>
      </c>
      <c r="J33">
        <v>200000</v>
      </c>
      <c r="K33" s="12">
        <f t="shared" si="1"/>
        <v>-0.6</v>
      </c>
      <c r="L33" s="6">
        <f>CB[[#This Row],[Variable Pay]]/CB[[#This Row],[Total CTC]]</f>
        <v>0.1875</v>
      </c>
      <c r="M33" s="6">
        <f>CB[[#This Row],[Fixed Pay]]/CB[[#This Row],[Total CTC]]</f>
        <v>0.8125</v>
      </c>
      <c r="N33">
        <f>CB[[#This Row],[Total CTC]]-CB[[#This Row],[Industry Benchmark]]</f>
        <v>-120000</v>
      </c>
    </row>
    <row r="34" spans="1:14">
      <c r="A34">
        <v>33</v>
      </c>
      <c r="B34" t="s">
        <v>67</v>
      </c>
      <c r="C34" t="s">
        <v>32</v>
      </c>
      <c r="D34" t="s">
        <v>21</v>
      </c>
      <c r="E34" t="s">
        <v>26</v>
      </c>
      <c r="F34" t="s">
        <v>18</v>
      </c>
      <c r="G34">
        <v>80000</v>
      </c>
      <c r="H34">
        <v>20000</v>
      </c>
      <c r="I34">
        <f t="shared" si="0"/>
        <v>100000</v>
      </c>
      <c r="J34">
        <v>120000</v>
      </c>
      <c r="K34" s="12">
        <f t="shared" si="1"/>
        <v>-0.166666666666667</v>
      </c>
      <c r="L34" s="6">
        <f>CB[[#This Row],[Variable Pay]]/CB[[#This Row],[Total CTC]]</f>
        <v>0.2</v>
      </c>
      <c r="M34" s="6">
        <f>CB[[#This Row],[Fixed Pay]]/CB[[#This Row],[Total CTC]]</f>
        <v>0.8</v>
      </c>
      <c r="N34">
        <f>CB[[#This Row],[Total CTC]]-CB[[#This Row],[Industry Benchmark]]</f>
        <v>-20000</v>
      </c>
    </row>
    <row r="35" spans="1:14">
      <c r="A35">
        <v>34</v>
      </c>
      <c r="B35" t="s">
        <v>68</v>
      </c>
      <c r="C35" t="s">
        <v>36</v>
      </c>
      <c r="D35" t="s">
        <v>37</v>
      </c>
      <c r="E35" t="s">
        <v>29</v>
      </c>
      <c r="F35" t="s">
        <v>30</v>
      </c>
      <c r="G35">
        <v>65000</v>
      </c>
      <c r="H35">
        <v>20000</v>
      </c>
      <c r="I35">
        <f t="shared" ref="I35:I66" si="2">SUM(G35+H35)</f>
        <v>85000</v>
      </c>
      <c r="J35">
        <v>100000</v>
      </c>
      <c r="K35" s="12">
        <f t="shared" si="1"/>
        <v>-0.15</v>
      </c>
      <c r="L35" s="6">
        <f>CB[[#This Row],[Variable Pay]]/CB[[#This Row],[Total CTC]]</f>
        <v>0.235294117647059</v>
      </c>
      <c r="M35" s="6">
        <f>CB[[#This Row],[Fixed Pay]]/CB[[#This Row],[Total CTC]]</f>
        <v>0.764705882352941</v>
      </c>
      <c r="N35">
        <f>CB[[#This Row],[Total CTC]]-CB[[#This Row],[Industry Benchmark]]</f>
        <v>-15000</v>
      </c>
    </row>
    <row r="36" spans="1:14">
      <c r="A36">
        <v>35</v>
      </c>
      <c r="B36" t="s">
        <v>69</v>
      </c>
      <c r="C36" t="s">
        <v>45</v>
      </c>
      <c r="D36" t="s">
        <v>37</v>
      </c>
      <c r="E36" t="s">
        <v>17</v>
      </c>
      <c r="F36" t="s">
        <v>40</v>
      </c>
      <c r="G36">
        <v>65000</v>
      </c>
      <c r="H36">
        <v>17000</v>
      </c>
      <c r="I36">
        <f t="shared" si="2"/>
        <v>82000</v>
      </c>
      <c r="J36">
        <v>182500</v>
      </c>
      <c r="K36" s="12">
        <f t="shared" si="1"/>
        <v>-0.550684931506849</v>
      </c>
      <c r="L36" s="6">
        <f>CB[[#This Row],[Variable Pay]]/CB[[#This Row],[Total CTC]]</f>
        <v>0.207317073170732</v>
      </c>
      <c r="M36" s="6">
        <f>CB[[#This Row],[Fixed Pay]]/CB[[#This Row],[Total CTC]]</f>
        <v>0.792682926829268</v>
      </c>
      <c r="N36">
        <f>CB[[#This Row],[Total CTC]]-CB[[#This Row],[Industry Benchmark]]</f>
        <v>-100500</v>
      </c>
    </row>
    <row r="37" spans="1:14">
      <c r="A37">
        <v>36</v>
      </c>
      <c r="B37" t="s">
        <v>70</v>
      </c>
      <c r="C37" t="s">
        <v>15</v>
      </c>
      <c r="D37" t="s">
        <v>16</v>
      </c>
      <c r="E37" t="s">
        <v>47</v>
      </c>
      <c r="F37" t="s">
        <v>18</v>
      </c>
      <c r="G37">
        <v>95000</v>
      </c>
      <c r="H37">
        <v>12000</v>
      </c>
      <c r="I37">
        <f t="shared" si="2"/>
        <v>107000</v>
      </c>
      <c r="J37">
        <v>160000</v>
      </c>
      <c r="K37" s="12">
        <f t="shared" si="1"/>
        <v>-0.33125</v>
      </c>
      <c r="L37" s="6">
        <f>CB[[#This Row],[Variable Pay]]/CB[[#This Row],[Total CTC]]</f>
        <v>0.11214953271028</v>
      </c>
      <c r="M37" s="6">
        <f>CB[[#This Row],[Fixed Pay]]/CB[[#This Row],[Total CTC]]</f>
        <v>0.88785046728972</v>
      </c>
      <c r="N37">
        <f>CB[[#This Row],[Total CTC]]-CB[[#This Row],[Industry Benchmark]]</f>
        <v>-53000</v>
      </c>
    </row>
    <row r="38" spans="1:14">
      <c r="A38">
        <v>37</v>
      </c>
      <c r="B38" t="s">
        <v>71</v>
      </c>
      <c r="C38" t="s">
        <v>32</v>
      </c>
      <c r="D38" t="s">
        <v>25</v>
      </c>
      <c r="E38" t="s">
        <v>33</v>
      </c>
      <c r="F38" t="s">
        <v>30</v>
      </c>
      <c r="G38">
        <v>50000</v>
      </c>
      <c r="H38">
        <v>15000</v>
      </c>
      <c r="I38">
        <f t="shared" si="2"/>
        <v>65000</v>
      </c>
      <c r="J38">
        <v>100000</v>
      </c>
      <c r="K38" s="12">
        <f t="shared" si="1"/>
        <v>-0.35</v>
      </c>
      <c r="L38" s="6">
        <f>CB[[#This Row],[Variable Pay]]/CB[[#This Row],[Total CTC]]</f>
        <v>0.230769230769231</v>
      </c>
      <c r="M38" s="6">
        <f>CB[[#This Row],[Fixed Pay]]/CB[[#This Row],[Total CTC]]</f>
        <v>0.769230769230769</v>
      </c>
      <c r="N38">
        <f>CB[[#This Row],[Total CTC]]-CB[[#This Row],[Industry Benchmark]]</f>
        <v>-35000</v>
      </c>
    </row>
    <row r="39" spans="1:14">
      <c r="A39">
        <v>38</v>
      </c>
      <c r="B39" t="s">
        <v>72</v>
      </c>
      <c r="C39" t="s">
        <v>20</v>
      </c>
      <c r="D39" t="s">
        <v>46</v>
      </c>
      <c r="E39" t="s">
        <v>22</v>
      </c>
      <c r="F39" t="s">
        <v>23</v>
      </c>
      <c r="G39">
        <v>65000</v>
      </c>
      <c r="H39">
        <v>12000</v>
      </c>
      <c r="I39">
        <f t="shared" si="2"/>
        <v>77000</v>
      </c>
      <c r="J39">
        <v>220000</v>
      </c>
      <c r="K39" s="12">
        <f t="shared" si="1"/>
        <v>-0.65</v>
      </c>
      <c r="L39" s="6">
        <f>CB[[#This Row],[Variable Pay]]/CB[[#This Row],[Total CTC]]</f>
        <v>0.155844155844156</v>
      </c>
      <c r="M39" s="6">
        <f>CB[[#This Row],[Fixed Pay]]/CB[[#This Row],[Total CTC]]</f>
        <v>0.844155844155844</v>
      </c>
      <c r="N39">
        <f>CB[[#This Row],[Total CTC]]-CB[[#This Row],[Industry Benchmark]]</f>
        <v>-143000</v>
      </c>
    </row>
    <row r="40" spans="1:14">
      <c r="A40">
        <v>39</v>
      </c>
      <c r="B40" t="s">
        <v>73</v>
      </c>
      <c r="C40" t="s">
        <v>32</v>
      </c>
      <c r="D40" t="s">
        <v>16</v>
      </c>
      <c r="E40" t="s">
        <v>22</v>
      </c>
      <c r="F40" t="s">
        <v>30</v>
      </c>
      <c r="G40">
        <v>65000</v>
      </c>
      <c r="H40">
        <v>14000</v>
      </c>
      <c r="I40">
        <f t="shared" si="2"/>
        <v>79000</v>
      </c>
      <c r="J40">
        <v>220000</v>
      </c>
      <c r="K40" s="12">
        <f t="shared" si="1"/>
        <v>-0.640909090909091</v>
      </c>
      <c r="L40" s="6">
        <f>CB[[#This Row],[Variable Pay]]/CB[[#This Row],[Total CTC]]</f>
        <v>0.177215189873418</v>
      </c>
      <c r="M40" s="6">
        <f>CB[[#This Row],[Fixed Pay]]/CB[[#This Row],[Total CTC]]</f>
        <v>0.822784810126582</v>
      </c>
      <c r="N40">
        <f>CB[[#This Row],[Total CTC]]-CB[[#This Row],[Industry Benchmark]]</f>
        <v>-141000</v>
      </c>
    </row>
    <row r="41" spans="1:14">
      <c r="A41">
        <v>40</v>
      </c>
      <c r="B41" t="s">
        <v>74</v>
      </c>
      <c r="C41" t="s">
        <v>15</v>
      </c>
      <c r="D41" t="s">
        <v>16</v>
      </c>
      <c r="E41" t="s">
        <v>47</v>
      </c>
      <c r="F41" t="s">
        <v>40</v>
      </c>
      <c r="G41">
        <v>65000</v>
      </c>
      <c r="H41">
        <v>12000</v>
      </c>
      <c r="I41">
        <f t="shared" si="2"/>
        <v>77000</v>
      </c>
      <c r="J41">
        <v>182500</v>
      </c>
      <c r="K41" s="12">
        <f t="shared" si="1"/>
        <v>-0.578082191780822</v>
      </c>
      <c r="L41" s="6">
        <f>CB[[#This Row],[Variable Pay]]/CB[[#This Row],[Total CTC]]</f>
        <v>0.155844155844156</v>
      </c>
      <c r="M41" s="6">
        <f>CB[[#This Row],[Fixed Pay]]/CB[[#This Row],[Total CTC]]</f>
        <v>0.844155844155844</v>
      </c>
      <c r="N41">
        <f>CB[[#This Row],[Total CTC]]-CB[[#This Row],[Industry Benchmark]]</f>
        <v>-105500</v>
      </c>
    </row>
    <row r="42" spans="1:14">
      <c r="A42">
        <v>41</v>
      </c>
      <c r="B42" t="s">
        <v>75</v>
      </c>
      <c r="C42" t="s">
        <v>45</v>
      </c>
      <c r="D42" t="s">
        <v>25</v>
      </c>
      <c r="E42" t="s">
        <v>26</v>
      </c>
      <c r="F42" t="s">
        <v>23</v>
      </c>
      <c r="G42">
        <v>80000</v>
      </c>
      <c r="H42">
        <v>16000</v>
      </c>
      <c r="I42">
        <f t="shared" si="2"/>
        <v>96000</v>
      </c>
      <c r="J42">
        <v>220000</v>
      </c>
      <c r="K42" s="12">
        <f t="shared" si="1"/>
        <v>-0.563636363636364</v>
      </c>
      <c r="L42" s="6">
        <f>CB[[#This Row],[Variable Pay]]/CB[[#This Row],[Total CTC]]</f>
        <v>0.166666666666667</v>
      </c>
      <c r="M42" s="6">
        <f>CB[[#This Row],[Fixed Pay]]/CB[[#This Row],[Total CTC]]</f>
        <v>0.833333333333333</v>
      </c>
      <c r="N42">
        <f>CB[[#This Row],[Total CTC]]-CB[[#This Row],[Industry Benchmark]]</f>
        <v>-124000</v>
      </c>
    </row>
    <row r="43" spans="1:14">
      <c r="A43">
        <v>42</v>
      </c>
      <c r="B43" t="s">
        <v>76</v>
      </c>
      <c r="C43" t="s">
        <v>15</v>
      </c>
      <c r="D43" t="s">
        <v>46</v>
      </c>
      <c r="E43" t="s">
        <v>47</v>
      </c>
      <c r="F43" t="s">
        <v>18</v>
      </c>
      <c r="G43">
        <v>85000</v>
      </c>
      <c r="H43">
        <v>15000</v>
      </c>
      <c r="I43">
        <f t="shared" si="2"/>
        <v>100000</v>
      </c>
      <c r="J43">
        <v>135000</v>
      </c>
      <c r="K43" s="12">
        <f t="shared" si="1"/>
        <v>-0.259259259259259</v>
      </c>
      <c r="L43" s="6">
        <f>CB[[#This Row],[Variable Pay]]/CB[[#This Row],[Total CTC]]</f>
        <v>0.15</v>
      </c>
      <c r="M43" s="6">
        <f>CB[[#This Row],[Fixed Pay]]/CB[[#This Row],[Total CTC]]</f>
        <v>0.85</v>
      </c>
      <c r="N43">
        <f>CB[[#This Row],[Total CTC]]-CB[[#This Row],[Industry Benchmark]]</f>
        <v>-35000</v>
      </c>
    </row>
    <row r="44" spans="1:14">
      <c r="A44">
        <v>43</v>
      </c>
      <c r="B44" t="s">
        <v>77</v>
      </c>
      <c r="C44" t="s">
        <v>15</v>
      </c>
      <c r="D44" t="s">
        <v>21</v>
      </c>
      <c r="E44" t="s">
        <v>26</v>
      </c>
      <c r="F44" t="s">
        <v>38</v>
      </c>
      <c r="G44">
        <v>85000</v>
      </c>
      <c r="H44">
        <v>20000</v>
      </c>
      <c r="I44">
        <f t="shared" si="2"/>
        <v>105000</v>
      </c>
      <c r="J44">
        <v>120000</v>
      </c>
      <c r="K44" s="12">
        <f t="shared" si="1"/>
        <v>-0.125</v>
      </c>
      <c r="L44" s="6">
        <f>CB[[#This Row],[Variable Pay]]/CB[[#This Row],[Total CTC]]</f>
        <v>0.19047619047619</v>
      </c>
      <c r="M44" s="6">
        <f>CB[[#This Row],[Fixed Pay]]/CB[[#This Row],[Total CTC]]</f>
        <v>0.80952380952381</v>
      </c>
      <c r="N44">
        <f>CB[[#This Row],[Total CTC]]-CB[[#This Row],[Industry Benchmark]]</f>
        <v>-15000</v>
      </c>
    </row>
    <row r="45" spans="1:14">
      <c r="A45">
        <v>44</v>
      </c>
      <c r="B45" t="s">
        <v>78</v>
      </c>
      <c r="C45" t="s">
        <v>15</v>
      </c>
      <c r="D45" t="s">
        <v>21</v>
      </c>
      <c r="E45" t="s">
        <v>33</v>
      </c>
      <c r="F45" t="s">
        <v>23</v>
      </c>
      <c r="G45">
        <v>100000</v>
      </c>
      <c r="H45">
        <v>11000</v>
      </c>
      <c r="I45">
        <f t="shared" si="2"/>
        <v>111000</v>
      </c>
      <c r="J45">
        <v>150000</v>
      </c>
      <c r="K45" s="12">
        <f t="shared" si="1"/>
        <v>-0.26</v>
      </c>
      <c r="L45" s="6">
        <f>CB[[#This Row],[Variable Pay]]/CB[[#This Row],[Total CTC]]</f>
        <v>0.0990990990990991</v>
      </c>
      <c r="M45" s="6">
        <f>CB[[#This Row],[Fixed Pay]]/CB[[#This Row],[Total CTC]]</f>
        <v>0.900900900900901</v>
      </c>
      <c r="N45">
        <f>CB[[#This Row],[Total CTC]]-CB[[#This Row],[Industry Benchmark]]</f>
        <v>-39000</v>
      </c>
    </row>
    <row r="46" spans="1:14">
      <c r="A46">
        <v>45</v>
      </c>
      <c r="B46" t="s">
        <v>79</v>
      </c>
      <c r="C46" t="s">
        <v>36</v>
      </c>
      <c r="D46" t="s">
        <v>25</v>
      </c>
      <c r="E46" t="s">
        <v>47</v>
      </c>
      <c r="F46" t="s">
        <v>30</v>
      </c>
      <c r="G46">
        <v>95000</v>
      </c>
      <c r="H46">
        <v>12000</v>
      </c>
      <c r="I46">
        <f t="shared" si="2"/>
        <v>107000</v>
      </c>
      <c r="J46">
        <v>750000</v>
      </c>
      <c r="K46" s="12">
        <f t="shared" si="1"/>
        <v>-0.857333333333333</v>
      </c>
      <c r="L46" s="6">
        <f>CB[[#This Row],[Variable Pay]]/CB[[#This Row],[Total CTC]]</f>
        <v>0.11214953271028</v>
      </c>
      <c r="M46" s="6">
        <f>CB[[#This Row],[Fixed Pay]]/CB[[#This Row],[Total CTC]]</f>
        <v>0.88785046728972</v>
      </c>
      <c r="N46">
        <f>CB[[#This Row],[Total CTC]]-CB[[#This Row],[Industry Benchmark]]</f>
        <v>-643000</v>
      </c>
    </row>
    <row r="47" spans="1:14">
      <c r="A47">
        <v>46</v>
      </c>
      <c r="B47" t="s">
        <v>80</v>
      </c>
      <c r="C47" t="s">
        <v>36</v>
      </c>
      <c r="D47" t="s">
        <v>21</v>
      </c>
      <c r="E47" t="s">
        <v>17</v>
      </c>
      <c r="F47" t="s">
        <v>38</v>
      </c>
      <c r="G47">
        <v>90000</v>
      </c>
      <c r="H47">
        <v>12000</v>
      </c>
      <c r="I47">
        <f t="shared" si="2"/>
        <v>102000</v>
      </c>
      <c r="J47">
        <v>100000</v>
      </c>
      <c r="K47" s="12">
        <f t="shared" si="1"/>
        <v>0.02</v>
      </c>
      <c r="L47" s="6">
        <f>CB[[#This Row],[Variable Pay]]/CB[[#This Row],[Total CTC]]</f>
        <v>0.117647058823529</v>
      </c>
      <c r="M47" s="6">
        <f>CB[[#This Row],[Fixed Pay]]/CB[[#This Row],[Total CTC]]</f>
        <v>0.882352941176471</v>
      </c>
      <c r="N47">
        <f>CB[[#This Row],[Total CTC]]-CB[[#This Row],[Industry Benchmark]]</f>
        <v>2000</v>
      </c>
    </row>
    <row r="48" spans="1:14">
      <c r="A48">
        <v>47</v>
      </c>
      <c r="B48" t="s">
        <v>81</v>
      </c>
      <c r="C48" t="s">
        <v>36</v>
      </c>
      <c r="D48" t="s">
        <v>21</v>
      </c>
      <c r="E48" t="s">
        <v>47</v>
      </c>
      <c r="F48" t="s">
        <v>23</v>
      </c>
      <c r="G48">
        <v>75000</v>
      </c>
      <c r="H48">
        <v>12000</v>
      </c>
      <c r="I48">
        <f t="shared" si="2"/>
        <v>87000</v>
      </c>
      <c r="J48">
        <v>100000</v>
      </c>
      <c r="K48" s="12">
        <f t="shared" si="1"/>
        <v>-0.13</v>
      </c>
      <c r="L48" s="6">
        <f>CB[[#This Row],[Variable Pay]]/CB[[#This Row],[Total CTC]]</f>
        <v>0.137931034482759</v>
      </c>
      <c r="M48" s="6">
        <f>CB[[#This Row],[Fixed Pay]]/CB[[#This Row],[Total CTC]]</f>
        <v>0.862068965517241</v>
      </c>
      <c r="N48">
        <f>CB[[#This Row],[Total CTC]]-CB[[#This Row],[Industry Benchmark]]</f>
        <v>-13000</v>
      </c>
    </row>
    <row r="49" spans="1:14">
      <c r="A49">
        <v>48</v>
      </c>
      <c r="B49" t="s">
        <v>82</v>
      </c>
      <c r="C49" t="s">
        <v>45</v>
      </c>
      <c r="D49" t="s">
        <v>25</v>
      </c>
      <c r="E49" t="s">
        <v>29</v>
      </c>
      <c r="F49" t="s">
        <v>40</v>
      </c>
      <c r="G49">
        <v>80000</v>
      </c>
      <c r="H49">
        <v>13000</v>
      </c>
      <c r="I49">
        <f t="shared" si="2"/>
        <v>93000</v>
      </c>
      <c r="J49">
        <v>140000</v>
      </c>
      <c r="K49" s="12">
        <f t="shared" si="1"/>
        <v>-0.335714285714286</v>
      </c>
      <c r="L49" s="6">
        <f>CB[[#This Row],[Variable Pay]]/CB[[#This Row],[Total CTC]]</f>
        <v>0.139784946236559</v>
      </c>
      <c r="M49" s="6">
        <f>CB[[#This Row],[Fixed Pay]]/CB[[#This Row],[Total CTC]]</f>
        <v>0.860215053763441</v>
      </c>
      <c r="N49">
        <f>CB[[#This Row],[Total CTC]]-CB[[#This Row],[Industry Benchmark]]</f>
        <v>-47000</v>
      </c>
    </row>
    <row r="50" spans="1:14">
      <c r="A50">
        <v>49</v>
      </c>
      <c r="B50" t="s">
        <v>83</v>
      </c>
      <c r="C50" t="s">
        <v>32</v>
      </c>
      <c r="D50" t="s">
        <v>37</v>
      </c>
      <c r="E50" t="s">
        <v>29</v>
      </c>
      <c r="F50" t="s">
        <v>30</v>
      </c>
      <c r="G50">
        <v>75000</v>
      </c>
      <c r="H50">
        <v>20000</v>
      </c>
      <c r="I50">
        <f t="shared" si="2"/>
        <v>95000</v>
      </c>
      <c r="J50">
        <v>750000</v>
      </c>
      <c r="K50" s="12">
        <f t="shared" si="1"/>
        <v>-0.873333333333333</v>
      </c>
      <c r="L50" s="6">
        <f>CB[[#This Row],[Variable Pay]]/CB[[#This Row],[Total CTC]]</f>
        <v>0.210526315789474</v>
      </c>
      <c r="M50" s="6">
        <f>CB[[#This Row],[Fixed Pay]]/CB[[#This Row],[Total CTC]]</f>
        <v>0.789473684210526</v>
      </c>
      <c r="N50">
        <f>CB[[#This Row],[Total CTC]]-CB[[#This Row],[Industry Benchmark]]</f>
        <v>-655000</v>
      </c>
    </row>
    <row r="51" spans="1:14">
      <c r="A51">
        <v>50</v>
      </c>
      <c r="B51" t="s">
        <v>84</v>
      </c>
      <c r="C51" t="s">
        <v>36</v>
      </c>
      <c r="D51" t="s">
        <v>16</v>
      </c>
      <c r="E51" t="s">
        <v>29</v>
      </c>
      <c r="F51" t="s">
        <v>30</v>
      </c>
      <c r="G51">
        <v>95000</v>
      </c>
      <c r="H51">
        <v>14000</v>
      </c>
      <c r="I51">
        <f t="shared" si="2"/>
        <v>109000</v>
      </c>
      <c r="J51">
        <v>140000</v>
      </c>
      <c r="K51" s="12">
        <f t="shared" si="1"/>
        <v>-0.221428571428571</v>
      </c>
      <c r="L51" s="6">
        <f>CB[[#This Row],[Variable Pay]]/CB[[#This Row],[Total CTC]]</f>
        <v>0.128440366972477</v>
      </c>
      <c r="M51" s="6">
        <f>CB[[#This Row],[Fixed Pay]]/CB[[#This Row],[Total CTC]]</f>
        <v>0.871559633027523</v>
      </c>
      <c r="N51">
        <f>CB[[#This Row],[Total CTC]]-CB[[#This Row],[Industry Benchmark]]</f>
        <v>-31000</v>
      </c>
    </row>
    <row r="52" spans="1:14">
      <c r="A52">
        <v>51</v>
      </c>
      <c r="B52" t="s">
        <v>85</v>
      </c>
      <c r="C52" t="s">
        <v>45</v>
      </c>
      <c r="D52" t="s">
        <v>25</v>
      </c>
      <c r="E52" t="s">
        <v>22</v>
      </c>
      <c r="F52" t="s">
        <v>18</v>
      </c>
      <c r="G52">
        <v>65000</v>
      </c>
      <c r="H52">
        <v>20000</v>
      </c>
      <c r="I52">
        <f t="shared" si="2"/>
        <v>85000</v>
      </c>
      <c r="J52">
        <v>182500</v>
      </c>
      <c r="K52" s="12">
        <f t="shared" si="1"/>
        <v>-0.534246575342466</v>
      </c>
      <c r="L52" s="6">
        <f>CB[[#This Row],[Variable Pay]]/CB[[#This Row],[Total CTC]]</f>
        <v>0.235294117647059</v>
      </c>
      <c r="M52" s="6">
        <f>CB[[#This Row],[Fixed Pay]]/CB[[#This Row],[Total CTC]]</f>
        <v>0.764705882352941</v>
      </c>
      <c r="N52">
        <f>CB[[#This Row],[Total CTC]]-CB[[#This Row],[Industry Benchmark]]</f>
        <v>-97500</v>
      </c>
    </row>
    <row r="53" spans="1:14">
      <c r="A53">
        <v>52</v>
      </c>
      <c r="B53" t="s">
        <v>86</v>
      </c>
      <c r="C53" t="s">
        <v>32</v>
      </c>
      <c r="D53" t="s">
        <v>25</v>
      </c>
      <c r="E53" t="s">
        <v>33</v>
      </c>
      <c r="F53" t="s">
        <v>38</v>
      </c>
      <c r="G53">
        <v>80000</v>
      </c>
      <c r="H53">
        <v>19000</v>
      </c>
      <c r="I53">
        <f t="shared" si="2"/>
        <v>99000</v>
      </c>
      <c r="J53">
        <v>120000</v>
      </c>
      <c r="K53" s="12">
        <f t="shared" si="1"/>
        <v>-0.175</v>
      </c>
      <c r="L53" s="6">
        <f>CB[[#This Row],[Variable Pay]]/CB[[#This Row],[Total CTC]]</f>
        <v>0.191919191919192</v>
      </c>
      <c r="M53" s="6">
        <f>CB[[#This Row],[Fixed Pay]]/CB[[#This Row],[Total CTC]]</f>
        <v>0.808080808080808</v>
      </c>
      <c r="N53">
        <f>CB[[#This Row],[Total CTC]]-CB[[#This Row],[Industry Benchmark]]</f>
        <v>-21000</v>
      </c>
    </row>
    <row r="54" spans="1:14">
      <c r="A54">
        <v>53</v>
      </c>
      <c r="B54" t="s">
        <v>87</v>
      </c>
      <c r="C54" t="s">
        <v>15</v>
      </c>
      <c r="D54" t="s">
        <v>21</v>
      </c>
      <c r="E54" t="s">
        <v>33</v>
      </c>
      <c r="F54" t="s">
        <v>18</v>
      </c>
      <c r="G54">
        <v>75000</v>
      </c>
      <c r="H54">
        <v>13000</v>
      </c>
      <c r="I54">
        <f t="shared" si="2"/>
        <v>88000</v>
      </c>
      <c r="J54">
        <v>150000</v>
      </c>
      <c r="K54" s="12">
        <f t="shared" si="1"/>
        <v>-0.413333333333333</v>
      </c>
      <c r="L54" s="6">
        <f>CB[[#This Row],[Variable Pay]]/CB[[#This Row],[Total CTC]]</f>
        <v>0.147727272727273</v>
      </c>
      <c r="M54" s="6">
        <f>CB[[#This Row],[Fixed Pay]]/CB[[#This Row],[Total CTC]]</f>
        <v>0.852272727272727</v>
      </c>
      <c r="N54">
        <f>CB[[#This Row],[Total CTC]]-CB[[#This Row],[Industry Benchmark]]</f>
        <v>-62000</v>
      </c>
    </row>
    <row r="55" spans="1:14">
      <c r="A55">
        <v>54</v>
      </c>
      <c r="B55" t="s">
        <v>88</v>
      </c>
      <c r="C55" t="s">
        <v>36</v>
      </c>
      <c r="D55" t="s">
        <v>46</v>
      </c>
      <c r="E55" t="s">
        <v>47</v>
      </c>
      <c r="F55" t="s">
        <v>38</v>
      </c>
      <c r="G55">
        <v>65000</v>
      </c>
      <c r="H55">
        <v>15000</v>
      </c>
      <c r="I55">
        <f t="shared" si="2"/>
        <v>80000</v>
      </c>
      <c r="J55">
        <v>100000</v>
      </c>
      <c r="K55" s="12">
        <f t="shared" si="1"/>
        <v>-0.2</v>
      </c>
      <c r="L55" s="6">
        <f>CB[[#This Row],[Variable Pay]]/CB[[#This Row],[Total CTC]]</f>
        <v>0.1875</v>
      </c>
      <c r="M55" s="6">
        <f>CB[[#This Row],[Fixed Pay]]/CB[[#This Row],[Total CTC]]</f>
        <v>0.8125</v>
      </c>
      <c r="N55">
        <f>CB[[#This Row],[Total CTC]]-CB[[#This Row],[Industry Benchmark]]</f>
        <v>-20000</v>
      </c>
    </row>
    <row r="56" spans="1:14">
      <c r="A56">
        <v>55</v>
      </c>
      <c r="B56" t="s">
        <v>89</v>
      </c>
      <c r="C56" t="s">
        <v>36</v>
      </c>
      <c r="D56" t="s">
        <v>21</v>
      </c>
      <c r="E56" t="s">
        <v>26</v>
      </c>
      <c r="F56" t="s">
        <v>23</v>
      </c>
      <c r="G56">
        <v>80000</v>
      </c>
      <c r="H56">
        <v>12000</v>
      </c>
      <c r="I56">
        <f t="shared" si="2"/>
        <v>92000</v>
      </c>
      <c r="J56">
        <v>135000</v>
      </c>
      <c r="K56" s="12">
        <f t="shared" si="1"/>
        <v>-0.318518518518519</v>
      </c>
      <c r="L56" s="6">
        <f>CB[[#This Row],[Variable Pay]]/CB[[#This Row],[Total CTC]]</f>
        <v>0.130434782608696</v>
      </c>
      <c r="M56" s="6">
        <f>CB[[#This Row],[Fixed Pay]]/CB[[#This Row],[Total CTC]]</f>
        <v>0.869565217391304</v>
      </c>
      <c r="N56">
        <f>CB[[#This Row],[Total CTC]]-CB[[#This Row],[Industry Benchmark]]</f>
        <v>-43000</v>
      </c>
    </row>
    <row r="57" spans="1:14">
      <c r="A57">
        <v>56</v>
      </c>
      <c r="B57" t="s">
        <v>90</v>
      </c>
      <c r="C57" t="s">
        <v>36</v>
      </c>
      <c r="D57" t="s">
        <v>16</v>
      </c>
      <c r="E57" t="s">
        <v>26</v>
      </c>
      <c r="F57" t="s">
        <v>30</v>
      </c>
      <c r="G57">
        <v>90000</v>
      </c>
      <c r="H57">
        <v>18000</v>
      </c>
      <c r="I57">
        <f t="shared" si="2"/>
        <v>108000</v>
      </c>
      <c r="J57">
        <v>100000</v>
      </c>
      <c r="K57" s="12">
        <f t="shared" si="1"/>
        <v>0.08</v>
      </c>
      <c r="L57" s="6">
        <f>CB[[#This Row],[Variable Pay]]/CB[[#This Row],[Total CTC]]</f>
        <v>0.166666666666667</v>
      </c>
      <c r="M57" s="6">
        <f>CB[[#This Row],[Fixed Pay]]/CB[[#This Row],[Total CTC]]</f>
        <v>0.833333333333333</v>
      </c>
      <c r="N57">
        <f>CB[[#This Row],[Total CTC]]-CB[[#This Row],[Industry Benchmark]]</f>
        <v>8000</v>
      </c>
    </row>
    <row r="58" spans="1:14">
      <c r="A58">
        <v>57</v>
      </c>
      <c r="B58" t="s">
        <v>91</v>
      </c>
      <c r="C58" t="s">
        <v>20</v>
      </c>
      <c r="D58" t="s">
        <v>25</v>
      </c>
      <c r="E58" t="s">
        <v>26</v>
      </c>
      <c r="F58" t="s">
        <v>30</v>
      </c>
      <c r="G58">
        <v>95000</v>
      </c>
      <c r="H58">
        <v>16000</v>
      </c>
      <c r="I58">
        <f t="shared" si="2"/>
        <v>111000</v>
      </c>
      <c r="J58">
        <v>182500</v>
      </c>
      <c r="K58" s="12">
        <f t="shared" si="1"/>
        <v>-0.391780821917808</v>
      </c>
      <c r="L58" s="6">
        <f>CB[[#This Row],[Variable Pay]]/CB[[#This Row],[Total CTC]]</f>
        <v>0.144144144144144</v>
      </c>
      <c r="M58" s="6">
        <f>CB[[#This Row],[Fixed Pay]]/CB[[#This Row],[Total CTC]]</f>
        <v>0.855855855855856</v>
      </c>
      <c r="N58">
        <f>CB[[#This Row],[Total CTC]]-CB[[#This Row],[Industry Benchmark]]</f>
        <v>-71500</v>
      </c>
    </row>
    <row r="59" spans="1:14">
      <c r="A59">
        <v>58</v>
      </c>
      <c r="B59" t="s">
        <v>92</v>
      </c>
      <c r="C59" t="s">
        <v>45</v>
      </c>
      <c r="D59" t="s">
        <v>37</v>
      </c>
      <c r="E59" t="s">
        <v>17</v>
      </c>
      <c r="F59" t="s">
        <v>40</v>
      </c>
      <c r="G59">
        <v>85000</v>
      </c>
      <c r="H59">
        <v>15000</v>
      </c>
      <c r="I59">
        <f t="shared" si="2"/>
        <v>100000</v>
      </c>
      <c r="J59">
        <v>160000</v>
      </c>
      <c r="K59" s="12">
        <f t="shared" si="1"/>
        <v>-0.375</v>
      </c>
      <c r="L59" s="6">
        <f>CB[[#This Row],[Variable Pay]]/CB[[#This Row],[Total CTC]]</f>
        <v>0.15</v>
      </c>
      <c r="M59" s="6">
        <f>CB[[#This Row],[Fixed Pay]]/CB[[#This Row],[Total CTC]]</f>
        <v>0.85</v>
      </c>
      <c r="N59">
        <f>CB[[#This Row],[Total CTC]]-CB[[#This Row],[Industry Benchmark]]</f>
        <v>-60000</v>
      </c>
    </row>
    <row r="60" spans="1:14">
      <c r="A60">
        <v>59</v>
      </c>
      <c r="B60" t="s">
        <v>93</v>
      </c>
      <c r="C60" t="s">
        <v>36</v>
      </c>
      <c r="D60" t="s">
        <v>46</v>
      </c>
      <c r="E60" t="s">
        <v>22</v>
      </c>
      <c r="F60" t="s">
        <v>40</v>
      </c>
      <c r="G60">
        <v>65000</v>
      </c>
      <c r="H60">
        <v>19000</v>
      </c>
      <c r="I60">
        <f t="shared" si="2"/>
        <v>84000</v>
      </c>
      <c r="J60">
        <v>135000</v>
      </c>
      <c r="K60" s="12">
        <f t="shared" si="1"/>
        <v>-0.377777777777778</v>
      </c>
      <c r="L60" s="6">
        <f>CB[[#This Row],[Variable Pay]]/CB[[#This Row],[Total CTC]]</f>
        <v>0.226190476190476</v>
      </c>
      <c r="M60" s="6">
        <f>CB[[#This Row],[Fixed Pay]]/CB[[#This Row],[Total CTC]]</f>
        <v>0.773809523809524</v>
      </c>
      <c r="N60">
        <f>CB[[#This Row],[Total CTC]]-CB[[#This Row],[Industry Benchmark]]</f>
        <v>-51000</v>
      </c>
    </row>
    <row r="61" spans="1:14">
      <c r="A61">
        <v>60</v>
      </c>
      <c r="B61" t="s">
        <v>94</v>
      </c>
      <c r="C61" t="s">
        <v>32</v>
      </c>
      <c r="D61" t="s">
        <v>21</v>
      </c>
      <c r="E61" t="s">
        <v>47</v>
      </c>
      <c r="F61" t="s">
        <v>23</v>
      </c>
      <c r="G61">
        <v>80000</v>
      </c>
      <c r="H61">
        <v>20000</v>
      </c>
      <c r="I61">
        <f t="shared" si="2"/>
        <v>100000</v>
      </c>
      <c r="J61">
        <v>220000</v>
      </c>
      <c r="K61" s="12">
        <f t="shared" si="1"/>
        <v>-0.545454545454545</v>
      </c>
      <c r="L61" s="6">
        <f>CB[[#This Row],[Variable Pay]]/CB[[#This Row],[Total CTC]]</f>
        <v>0.2</v>
      </c>
      <c r="M61" s="6">
        <f>CB[[#This Row],[Fixed Pay]]/CB[[#This Row],[Total CTC]]</f>
        <v>0.8</v>
      </c>
      <c r="N61">
        <f>CB[[#This Row],[Total CTC]]-CB[[#This Row],[Industry Benchmark]]</f>
        <v>-120000</v>
      </c>
    </row>
    <row r="62" spans="1:14">
      <c r="A62">
        <v>61</v>
      </c>
      <c r="B62" t="s">
        <v>95</v>
      </c>
      <c r="C62" t="s">
        <v>15</v>
      </c>
      <c r="D62" t="s">
        <v>21</v>
      </c>
      <c r="E62" t="s">
        <v>17</v>
      </c>
      <c r="F62" t="s">
        <v>30</v>
      </c>
      <c r="G62">
        <v>55000</v>
      </c>
      <c r="H62">
        <v>12000</v>
      </c>
      <c r="I62">
        <f t="shared" si="2"/>
        <v>67000</v>
      </c>
      <c r="J62">
        <v>150000</v>
      </c>
      <c r="K62" s="12">
        <f t="shared" si="1"/>
        <v>-0.553333333333333</v>
      </c>
      <c r="L62" s="6">
        <f>CB[[#This Row],[Variable Pay]]/CB[[#This Row],[Total CTC]]</f>
        <v>0.17910447761194</v>
      </c>
      <c r="M62" s="6">
        <f>CB[[#This Row],[Fixed Pay]]/CB[[#This Row],[Total CTC]]</f>
        <v>0.82089552238806</v>
      </c>
      <c r="N62">
        <f>CB[[#This Row],[Total CTC]]-CB[[#This Row],[Industry Benchmark]]</f>
        <v>-83000</v>
      </c>
    </row>
    <row r="63" spans="1:14">
      <c r="A63">
        <v>62</v>
      </c>
      <c r="B63" t="s">
        <v>96</v>
      </c>
      <c r="C63" t="s">
        <v>32</v>
      </c>
      <c r="D63" t="s">
        <v>46</v>
      </c>
      <c r="E63" t="s">
        <v>17</v>
      </c>
      <c r="F63" t="s">
        <v>23</v>
      </c>
      <c r="G63">
        <v>80000</v>
      </c>
      <c r="H63">
        <v>12000</v>
      </c>
      <c r="I63">
        <f t="shared" si="2"/>
        <v>92000</v>
      </c>
      <c r="J63">
        <v>135000</v>
      </c>
      <c r="K63" s="12">
        <f t="shared" si="1"/>
        <v>-0.318518518518519</v>
      </c>
      <c r="L63" s="6">
        <f>CB[[#This Row],[Variable Pay]]/CB[[#This Row],[Total CTC]]</f>
        <v>0.130434782608696</v>
      </c>
      <c r="M63" s="6">
        <f>CB[[#This Row],[Fixed Pay]]/CB[[#This Row],[Total CTC]]</f>
        <v>0.869565217391304</v>
      </c>
      <c r="N63">
        <f>CB[[#This Row],[Total CTC]]-CB[[#This Row],[Industry Benchmark]]</f>
        <v>-43000</v>
      </c>
    </row>
    <row r="64" spans="1:14">
      <c r="A64">
        <v>63</v>
      </c>
      <c r="B64" t="s">
        <v>97</v>
      </c>
      <c r="C64" t="s">
        <v>32</v>
      </c>
      <c r="D64" t="s">
        <v>25</v>
      </c>
      <c r="E64" t="s">
        <v>26</v>
      </c>
      <c r="F64" t="s">
        <v>18</v>
      </c>
      <c r="G64">
        <v>50000</v>
      </c>
      <c r="H64">
        <v>15000</v>
      </c>
      <c r="I64">
        <f t="shared" si="2"/>
        <v>65000</v>
      </c>
      <c r="J64">
        <v>160000</v>
      </c>
      <c r="K64" s="12">
        <f t="shared" si="1"/>
        <v>-0.59375</v>
      </c>
      <c r="L64" s="6">
        <f>CB[[#This Row],[Variable Pay]]/CB[[#This Row],[Total CTC]]</f>
        <v>0.230769230769231</v>
      </c>
      <c r="M64" s="6">
        <f>CB[[#This Row],[Fixed Pay]]/CB[[#This Row],[Total CTC]]</f>
        <v>0.769230769230769</v>
      </c>
      <c r="N64">
        <f>CB[[#This Row],[Total CTC]]-CB[[#This Row],[Industry Benchmark]]</f>
        <v>-95000</v>
      </c>
    </row>
    <row r="65" spans="1:14">
      <c r="A65">
        <v>64</v>
      </c>
      <c r="B65" t="s">
        <v>98</v>
      </c>
      <c r="C65" t="s">
        <v>20</v>
      </c>
      <c r="D65" t="s">
        <v>46</v>
      </c>
      <c r="E65" t="s">
        <v>47</v>
      </c>
      <c r="F65" t="s">
        <v>38</v>
      </c>
      <c r="G65">
        <v>80000</v>
      </c>
      <c r="H65">
        <v>13000</v>
      </c>
      <c r="I65">
        <f t="shared" si="2"/>
        <v>93000</v>
      </c>
      <c r="J65">
        <v>100000</v>
      </c>
      <c r="K65" s="12">
        <f t="shared" si="1"/>
        <v>-0.07</v>
      </c>
      <c r="L65" s="6">
        <f>CB[[#This Row],[Variable Pay]]/CB[[#This Row],[Total CTC]]</f>
        <v>0.139784946236559</v>
      </c>
      <c r="M65" s="6">
        <f>CB[[#This Row],[Fixed Pay]]/CB[[#This Row],[Total CTC]]</f>
        <v>0.860215053763441</v>
      </c>
      <c r="N65">
        <f>CB[[#This Row],[Total CTC]]-CB[[#This Row],[Industry Benchmark]]</f>
        <v>-7000</v>
      </c>
    </row>
    <row r="66" spans="1:14">
      <c r="A66">
        <v>65</v>
      </c>
      <c r="B66" t="s">
        <v>99</v>
      </c>
      <c r="C66" t="s">
        <v>15</v>
      </c>
      <c r="D66" t="s">
        <v>46</v>
      </c>
      <c r="E66" t="s">
        <v>29</v>
      </c>
      <c r="F66" t="s">
        <v>30</v>
      </c>
      <c r="G66">
        <v>65000</v>
      </c>
      <c r="H66">
        <v>12000</v>
      </c>
      <c r="I66">
        <f t="shared" si="2"/>
        <v>77000</v>
      </c>
      <c r="J66">
        <v>160000</v>
      </c>
      <c r="K66" s="12">
        <f t="shared" si="1"/>
        <v>-0.51875</v>
      </c>
      <c r="L66" s="6">
        <f>CB[[#This Row],[Variable Pay]]/CB[[#This Row],[Total CTC]]</f>
        <v>0.155844155844156</v>
      </c>
      <c r="M66" s="6">
        <f>CB[[#This Row],[Fixed Pay]]/CB[[#This Row],[Total CTC]]</f>
        <v>0.844155844155844</v>
      </c>
      <c r="N66">
        <f>CB[[#This Row],[Total CTC]]-CB[[#This Row],[Industry Benchmark]]</f>
        <v>-83000</v>
      </c>
    </row>
    <row r="67" spans="1:14">
      <c r="A67">
        <v>66</v>
      </c>
      <c r="B67" t="s">
        <v>99</v>
      </c>
      <c r="C67" t="s">
        <v>15</v>
      </c>
      <c r="D67" t="s">
        <v>46</v>
      </c>
      <c r="E67" t="s">
        <v>47</v>
      </c>
      <c r="F67" t="s">
        <v>40</v>
      </c>
      <c r="G67">
        <v>65000</v>
      </c>
      <c r="H67">
        <v>19000</v>
      </c>
      <c r="I67">
        <f t="shared" ref="I67:I101" si="3">SUM(G67+H67)</f>
        <v>84000</v>
      </c>
      <c r="J67">
        <v>140000</v>
      </c>
      <c r="K67" s="12">
        <f t="shared" ref="K67:K101" si="4">(I67-J67)/J67</f>
        <v>-0.4</v>
      </c>
      <c r="L67" s="6">
        <f>CB[[#This Row],[Variable Pay]]/CB[[#This Row],[Total CTC]]</f>
        <v>0.226190476190476</v>
      </c>
      <c r="M67" s="6">
        <f>CB[[#This Row],[Fixed Pay]]/CB[[#This Row],[Total CTC]]</f>
        <v>0.773809523809524</v>
      </c>
      <c r="N67">
        <f>CB[[#This Row],[Total CTC]]-CB[[#This Row],[Industry Benchmark]]</f>
        <v>-56000</v>
      </c>
    </row>
    <row r="68" spans="1:14">
      <c r="A68">
        <v>67</v>
      </c>
      <c r="B68" t="s">
        <v>100</v>
      </c>
      <c r="C68" t="s">
        <v>15</v>
      </c>
      <c r="D68" t="s">
        <v>21</v>
      </c>
      <c r="E68" t="s">
        <v>33</v>
      </c>
      <c r="F68" t="s">
        <v>38</v>
      </c>
      <c r="G68">
        <v>85000</v>
      </c>
      <c r="H68">
        <v>15000</v>
      </c>
      <c r="I68">
        <f t="shared" si="3"/>
        <v>100000</v>
      </c>
      <c r="J68">
        <v>120000</v>
      </c>
      <c r="K68" s="12">
        <f t="shared" si="4"/>
        <v>-0.166666666666667</v>
      </c>
      <c r="L68" s="6">
        <f>CB[[#This Row],[Variable Pay]]/CB[[#This Row],[Total CTC]]</f>
        <v>0.15</v>
      </c>
      <c r="M68" s="6">
        <f>CB[[#This Row],[Fixed Pay]]/CB[[#This Row],[Total CTC]]</f>
        <v>0.85</v>
      </c>
      <c r="N68">
        <f>CB[[#This Row],[Total CTC]]-CB[[#This Row],[Industry Benchmark]]</f>
        <v>-20000</v>
      </c>
    </row>
    <row r="69" spans="1:14">
      <c r="A69">
        <v>68</v>
      </c>
      <c r="B69" t="s">
        <v>101</v>
      </c>
      <c r="C69" t="s">
        <v>45</v>
      </c>
      <c r="D69" t="s">
        <v>21</v>
      </c>
      <c r="E69" t="s">
        <v>33</v>
      </c>
      <c r="F69" t="s">
        <v>30</v>
      </c>
      <c r="G69">
        <v>80000</v>
      </c>
      <c r="H69">
        <v>12000</v>
      </c>
      <c r="I69">
        <f t="shared" si="3"/>
        <v>92000</v>
      </c>
      <c r="J69">
        <v>120000</v>
      </c>
      <c r="K69" s="12">
        <f t="shared" si="4"/>
        <v>-0.233333333333333</v>
      </c>
      <c r="L69" s="6">
        <f>CB[[#This Row],[Variable Pay]]/CB[[#This Row],[Total CTC]]</f>
        <v>0.130434782608696</v>
      </c>
      <c r="M69" s="6">
        <f>CB[[#This Row],[Fixed Pay]]/CB[[#This Row],[Total CTC]]</f>
        <v>0.869565217391304</v>
      </c>
      <c r="N69">
        <f>CB[[#This Row],[Total CTC]]-CB[[#This Row],[Industry Benchmark]]</f>
        <v>-28000</v>
      </c>
    </row>
    <row r="70" spans="1:14">
      <c r="A70">
        <v>69</v>
      </c>
      <c r="B70" t="s">
        <v>102</v>
      </c>
      <c r="C70" t="s">
        <v>15</v>
      </c>
      <c r="D70" t="s">
        <v>46</v>
      </c>
      <c r="E70" t="s">
        <v>47</v>
      </c>
      <c r="F70" t="s">
        <v>30</v>
      </c>
      <c r="G70">
        <v>70000</v>
      </c>
      <c r="H70">
        <v>18000</v>
      </c>
      <c r="I70">
        <f t="shared" si="3"/>
        <v>88000</v>
      </c>
      <c r="J70">
        <v>120000</v>
      </c>
      <c r="K70" s="12">
        <f t="shared" si="4"/>
        <v>-0.266666666666667</v>
      </c>
      <c r="L70" s="6">
        <f>CB[[#This Row],[Variable Pay]]/CB[[#This Row],[Total CTC]]</f>
        <v>0.204545454545455</v>
      </c>
      <c r="M70" s="6">
        <f>CB[[#This Row],[Fixed Pay]]/CB[[#This Row],[Total CTC]]</f>
        <v>0.795454545454545</v>
      </c>
      <c r="N70">
        <f>CB[[#This Row],[Total CTC]]-CB[[#This Row],[Industry Benchmark]]</f>
        <v>-32000</v>
      </c>
    </row>
    <row r="71" spans="1:14">
      <c r="A71">
        <v>70</v>
      </c>
      <c r="B71" t="s">
        <v>103</v>
      </c>
      <c r="C71" t="s">
        <v>45</v>
      </c>
      <c r="D71" t="s">
        <v>37</v>
      </c>
      <c r="E71" t="s">
        <v>17</v>
      </c>
      <c r="F71" t="s">
        <v>18</v>
      </c>
      <c r="G71">
        <v>65000</v>
      </c>
      <c r="H71">
        <v>18000</v>
      </c>
      <c r="I71">
        <f t="shared" si="3"/>
        <v>83000</v>
      </c>
      <c r="J71">
        <v>120000</v>
      </c>
      <c r="K71" s="12">
        <f t="shared" si="4"/>
        <v>-0.308333333333333</v>
      </c>
      <c r="L71" s="6">
        <f>CB[[#This Row],[Variable Pay]]/CB[[#This Row],[Total CTC]]</f>
        <v>0.216867469879518</v>
      </c>
      <c r="M71" s="6">
        <f>CB[[#This Row],[Fixed Pay]]/CB[[#This Row],[Total CTC]]</f>
        <v>0.783132530120482</v>
      </c>
      <c r="N71">
        <f>CB[[#This Row],[Total CTC]]-CB[[#This Row],[Industry Benchmark]]</f>
        <v>-37000</v>
      </c>
    </row>
    <row r="72" spans="1:14">
      <c r="A72">
        <v>71</v>
      </c>
      <c r="B72" t="s">
        <v>104</v>
      </c>
      <c r="C72" t="s">
        <v>32</v>
      </c>
      <c r="D72" t="s">
        <v>37</v>
      </c>
      <c r="E72" t="s">
        <v>33</v>
      </c>
      <c r="F72" t="s">
        <v>23</v>
      </c>
      <c r="G72">
        <v>85000</v>
      </c>
      <c r="H72">
        <v>16000</v>
      </c>
      <c r="I72">
        <f t="shared" si="3"/>
        <v>101000</v>
      </c>
      <c r="J72">
        <v>120000</v>
      </c>
      <c r="K72" s="12">
        <f t="shared" si="4"/>
        <v>-0.158333333333333</v>
      </c>
      <c r="L72" s="6">
        <f>CB[[#This Row],[Variable Pay]]/CB[[#This Row],[Total CTC]]</f>
        <v>0.158415841584158</v>
      </c>
      <c r="M72" s="6">
        <f>CB[[#This Row],[Fixed Pay]]/CB[[#This Row],[Total CTC]]</f>
        <v>0.841584158415842</v>
      </c>
      <c r="N72">
        <f>CB[[#This Row],[Total CTC]]-CB[[#This Row],[Industry Benchmark]]</f>
        <v>-19000</v>
      </c>
    </row>
    <row r="73" spans="1:14">
      <c r="A73">
        <v>72</v>
      </c>
      <c r="B73" t="s">
        <v>105</v>
      </c>
      <c r="C73" t="s">
        <v>20</v>
      </c>
      <c r="D73" t="s">
        <v>21</v>
      </c>
      <c r="E73" t="s">
        <v>33</v>
      </c>
      <c r="F73" t="s">
        <v>30</v>
      </c>
      <c r="G73">
        <v>55000</v>
      </c>
      <c r="H73">
        <v>20000</v>
      </c>
      <c r="I73">
        <f t="shared" si="3"/>
        <v>75000</v>
      </c>
      <c r="J73">
        <v>200000</v>
      </c>
      <c r="K73" s="12">
        <f t="shared" si="4"/>
        <v>-0.625</v>
      </c>
      <c r="L73" s="6">
        <f>CB[[#This Row],[Variable Pay]]/CB[[#This Row],[Total CTC]]</f>
        <v>0.266666666666667</v>
      </c>
      <c r="M73" s="6">
        <f>CB[[#This Row],[Fixed Pay]]/CB[[#This Row],[Total CTC]]</f>
        <v>0.733333333333333</v>
      </c>
      <c r="N73">
        <f>CB[[#This Row],[Total CTC]]-CB[[#This Row],[Industry Benchmark]]</f>
        <v>-125000</v>
      </c>
    </row>
    <row r="74" spans="1:14">
      <c r="A74">
        <v>73</v>
      </c>
      <c r="B74" t="s">
        <v>106</v>
      </c>
      <c r="C74" t="s">
        <v>15</v>
      </c>
      <c r="D74" t="s">
        <v>25</v>
      </c>
      <c r="E74" t="s">
        <v>26</v>
      </c>
      <c r="F74" t="s">
        <v>30</v>
      </c>
      <c r="G74">
        <v>70000</v>
      </c>
      <c r="H74">
        <v>15000</v>
      </c>
      <c r="I74">
        <f t="shared" si="3"/>
        <v>85000</v>
      </c>
      <c r="J74">
        <v>150000</v>
      </c>
      <c r="K74" s="12">
        <f t="shared" si="4"/>
        <v>-0.433333333333333</v>
      </c>
      <c r="L74" s="6">
        <f>CB[[#This Row],[Variable Pay]]/CB[[#This Row],[Total CTC]]</f>
        <v>0.176470588235294</v>
      </c>
      <c r="M74" s="6">
        <f>CB[[#This Row],[Fixed Pay]]/CB[[#This Row],[Total CTC]]</f>
        <v>0.823529411764706</v>
      </c>
      <c r="N74">
        <f>CB[[#This Row],[Total CTC]]-CB[[#This Row],[Industry Benchmark]]</f>
        <v>-65000</v>
      </c>
    </row>
    <row r="75" spans="1:14">
      <c r="A75">
        <v>74</v>
      </c>
      <c r="B75" t="s">
        <v>107</v>
      </c>
      <c r="C75" t="s">
        <v>32</v>
      </c>
      <c r="D75" t="s">
        <v>21</v>
      </c>
      <c r="E75" t="s">
        <v>26</v>
      </c>
      <c r="F75" t="s">
        <v>30</v>
      </c>
      <c r="G75">
        <v>95000</v>
      </c>
      <c r="H75">
        <v>18000</v>
      </c>
      <c r="I75">
        <f t="shared" si="3"/>
        <v>113000</v>
      </c>
      <c r="J75">
        <v>150000</v>
      </c>
      <c r="K75" s="12">
        <f t="shared" si="4"/>
        <v>-0.246666666666667</v>
      </c>
      <c r="L75" s="6">
        <f>CB[[#This Row],[Variable Pay]]/CB[[#This Row],[Total CTC]]</f>
        <v>0.15929203539823</v>
      </c>
      <c r="M75" s="6">
        <f>CB[[#This Row],[Fixed Pay]]/CB[[#This Row],[Total CTC]]</f>
        <v>0.84070796460177</v>
      </c>
      <c r="N75">
        <f>CB[[#This Row],[Total CTC]]-CB[[#This Row],[Industry Benchmark]]</f>
        <v>-37000</v>
      </c>
    </row>
    <row r="76" spans="1:14">
      <c r="A76">
        <v>75</v>
      </c>
      <c r="B76" t="s">
        <v>108</v>
      </c>
      <c r="C76" t="s">
        <v>20</v>
      </c>
      <c r="D76" t="s">
        <v>37</v>
      </c>
      <c r="E76" t="s">
        <v>29</v>
      </c>
      <c r="F76" t="s">
        <v>40</v>
      </c>
      <c r="G76">
        <v>80000</v>
      </c>
      <c r="H76">
        <v>19000</v>
      </c>
      <c r="I76">
        <f t="shared" si="3"/>
        <v>99000</v>
      </c>
      <c r="J76">
        <v>140000</v>
      </c>
      <c r="K76" s="12">
        <f t="shared" si="4"/>
        <v>-0.292857142857143</v>
      </c>
      <c r="L76" s="6">
        <f>CB[[#This Row],[Variable Pay]]/CB[[#This Row],[Total CTC]]</f>
        <v>0.191919191919192</v>
      </c>
      <c r="M76" s="6">
        <f>CB[[#This Row],[Fixed Pay]]/CB[[#This Row],[Total CTC]]</f>
        <v>0.808080808080808</v>
      </c>
      <c r="N76">
        <f>CB[[#This Row],[Total CTC]]-CB[[#This Row],[Industry Benchmark]]</f>
        <v>-41000</v>
      </c>
    </row>
    <row r="77" spans="1:14">
      <c r="A77">
        <v>76</v>
      </c>
      <c r="B77" t="s">
        <v>109</v>
      </c>
      <c r="C77" t="s">
        <v>36</v>
      </c>
      <c r="D77" t="s">
        <v>46</v>
      </c>
      <c r="E77" t="s">
        <v>33</v>
      </c>
      <c r="F77" t="s">
        <v>18</v>
      </c>
      <c r="G77">
        <v>80000</v>
      </c>
      <c r="H77">
        <v>17000</v>
      </c>
      <c r="I77">
        <f t="shared" si="3"/>
        <v>97000</v>
      </c>
      <c r="J77">
        <v>182500</v>
      </c>
      <c r="K77" s="12">
        <f t="shared" si="4"/>
        <v>-0.468493150684932</v>
      </c>
      <c r="L77" s="6">
        <f>CB[[#This Row],[Variable Pay]]/CB[[#This Row],[Total CTC]]</f>
        <v>0.175257731958763</v>
      </c>
      <c r="M77" s="6">
        <f>CB[[#This Row],[Fixed Pay]]/CB[[#This Row],[Total CTC]]</f>
        <v>0.824742268041237</v>
      </c>
      <c r="N77">
        <f>CB[[#This Row],[Total CTC]]-CB[[#This Row],[Industry Benchmark]]</f>
        <v>-85500</v>
      </c>
    </row>
    <row r="78" spans="1:14">
      <c r="A78">
        <v>77</v>
      </c>
      <c r="B78" t="s">
        <v>110</v>
      </c>
      <c r="C78" t="s">
        <v>20</v>
      </c>
      <c r="D78" t="s">
        <v>46</v>
      </c>
      <c r="E78" t="s">
        <v>17</v>
      </c>
      <c r="F78" t="s">
        <v>18</v>
      </c>
      <c r="G78">
        <v>80000</v>
      </c>
      <c r="H78">
        <v>12000</v>
      </c>
      <c r="I78">
        <f t="shared" si="3"/>
        <v>92000</v>
      </c>
      <c r="J78">
        <v>100000</v>
      </c>
      <c r="K78" s="12">
        <f t="shared" si="4"/>
        <v>-0.08</v>
      </c>
      <c r="L78" s="6">
        <f>CB[[#This Row],[Variable Pay]]/CB[[#This Row],[Total CTC]]</f>
        <v>0.130434782608696</v>
      </c>
      <c r="M78" s="6">
        <f>CB[[#This Row],[Fixed Pay]]/CB[[#This Row],[Total CTC]]</f>
        <v>0.869565217391304</v>
      </c>
      <c r="N78">
        <f>CB[[#This Row],[Total CTC]]-CB[[#This Row],[Industry Benchmark]]</f>
        <v>-8000</v>
      </c>
    </row>
    <row r="79" spans="1:14">
      <c r="A79">
        <v>78</v>
      </c>
      <c r="B79" t="s">
        <v>111</v>
      </c>
      <c r="C79" t="s">
        <v>45</v>
      </c>
      <c r="D79" t="s">
        <v>16</v>
      </c>
      <c r="E79" t="s">
        <v>22</v>
      </c>
      <c r="F79" t="s">
        <v>23</v>
      </c>
      <c r="G79">
        <v>90000</v>
      </c>
      <c r="H79">
        <v>12000</v>
      </c>
      <c r="I79">
        <f t="shared" si="3"/>
        <v>102000</v>
      </c>
      <c r="J79">
        <v>140000</v>
      </c>
      <c r="K79" s="12">
        <f t="shared" si="4"/>
        <v>-0.271428571428571</v>
      </c>
      <c r="L79" s="6">
        <f>CB[[#This Row],[Variable Pay]]/CB[[#This Row],[Total CTC]]</f>
        <v>0.117647058823529</v>
      </c>
      <c r="M79" s="6">
        <f>CB[[#This Row],[Fixed Pay]]/CB[[#This Row],[Total CTC]]</f>
        <v>0.882352941176471</v>
      </c>
      <c r="N79">
        <f>CB[[#This Row],[Total CTC]]-CB[[#This Row],[Industry Benchmark]]</f>
        <v>-38000</v>
      </c>
    </row>
    <row r="80" spans="1:14">
      <c r="A80">
        <v>79</v>
      </c>
      <c r="B80" t="s">
        <v>112</v>
      </c>
      <c r="C80" t="s">
        <v>32</v>
      </c>
      <c r="D80" t="s">
        <v>37</v>
      </c>
      <c r="E80" t="s">
        <v>26</v>
      </c>
      <c r="F80" t="s">
        <v>23</v>
      </c>
      <c r="G80">
        <v>80000</v>
      </c>
      <c r="H80">
        <v>20000</v>
      </c>
      <c r="I80">
        <f t="shared" si="3"/>
        <v>100000</v>
      </c>
      <c r="J80">
        <v>220000</v>
      </c>
      <c r="K80" s="12">
        <f t="shared" si="4"/>
        <v>-0.545454545454545</v>
      </c>
      <c r="L80" s="6">
        <f>CB[[#This Row],[Variable Pay]]/CB[[#This Row],[Total CTC]]</f>
        <v>0.2</v>
      </c>
      <c r="M80" s="6">
        <f>CB[[#This Row],[Fixed Pay]]/CB[[#This Row],[Total CTC]]</f>
        <v>0.8</v>
      </c>
      <c r="N80">
        <f>CB[[#This Row],[Total CTC]]-CB[[#This Row],[Industry Benchmark]]</f>
        <v>-120000</v>
      </c>
    </row>
    <row r="81" spans="1:14">
      <c r="A81">
        <v>80</v>
      </c>
      <c r="B81" t="s">
        <v>113</v>
      </c>
      <c r="C81" t="s">
        <v>45</v>
      </c>
      <c r="D81" t="s">
        <v>37</v>
      </c>
      <c r="E81" t="s">
        <v>29</v>
      </c>
      <c r="F81" t="s">
        <v>40</v>
      </c>
      <c r="G81">
        <v>80000</v>
      </c>
      <c r="H81">
        <v>17000</v>
      </c>
      <c r="I81">
        <f t="shared" si="3"/>
        <v>97000</v>
      </c>
      <c r="J81">
        <v>160000</v>
      </c>
      <c r="K81" s="12">
        <f t="shared" si="4"/>
        <v>-0.39375</v>
      </c>
      <c r="L81" s="6">
        <f>CB[[#This Row],[Variable Pay]]/CB[[#This Row],[Total CTC]]</f>
        <v>0.175257731958763</v>
      </c>
      <c r="M81" s="6">
        <f>CB[[#This Row],[Fixed Pay]]/CB[[#This Row],[Total CTC]]</f>
        <v>0.824742268041237</v>
      </c>
      <c r="N81">
        <f>CB[[#This Row],[Total CTC]]-CB[[#This Row],[Industry Benchmark]]</f>
        <v>-63000</v>
      </c>
    </row>
    <row r="82" spans="1:14">
      <c r="A82">
        <v>81</v>
      </c>
      <c r="B82" t="s">
        <v>114</v>
      </c>
      <c r="C82" t="s">
        <v>32</v>
      </c>
      <c r="D82" t="s">
        <v>46</v>
      </c>
      <c r="E82" t="s">
        <v>29</v>
      </c>
      <c r="F82" t="s">
        <v>23</v>
      </c>
      <c r="G82">
        <v>85000</v>
      </c>
      <c r="H82">
        <v>12000</v>
      </c>
      <c r="I82">
        <f t="shared" si="3"/>
        <v>97000</v>
      </c>
      <c r="J82">
        <v>750000</v>
      </c>
      <c r="K82" s="12">
        <f t="shared" si="4"/>
        <v>-0.870666666666667</v>
      </c>
      <c r="L82" s="6">
        <f>CB[[#This Row],[Variable Pay]]/CB[[#This Row],[Total CTC]]</f>
        <v>0.123711340206186</v>
      </c>
      <c r="M82" s="6">
        <f>CB[[#This Row],[Fixed Pay]]/CB[[#This Row],[Total CTC]]</f>
        <v>0.876288659793814</v>
      </c>
      <c r="N82">
        <f>CB[[#This Row],[Total CTC]]-CB[[#This Row],[Industry Benchmark]]</f>
        <v>-653000</v>
      </c>
    </row>
    <row r="83" spans="1:14">
      <c r="A83">
        <v>82</v>
      </c>
      <c r="B83" t="s">
        <v>115</v>
      </c>
      <c r="C83" t="s">
        <v>20</v>
      </c>
      <c r="D83" t="s">
        <v>21</v>
      </c>
      <c r="E83" t="s">
        <v>26</v>
      </c>
      <c r="F83" t="s">
        <v>40</v>
      </c>
      <c r="G83">
        <v>80000</v>
      </c>
      <c r="H83">
        <v>12000</v>
      </c>
      <c r="I83">
        <f t="shared" si="3"/>
        <v>92000</v>
      </c>
      <c r="J83">
        <v>140000</v>
      </c>
      <c r="K83" s="12">
        <f t="shared" si="4"/>
        <v>-0.342857142857143</v>
      </c>
      <c r="L83" s="6">
        <f>CB[[#This Row],[Variable Pay]]/CB[[#This Row],[Total CTC]]</f>
        <v>0.130434782608696</v>
      </c>
      <c r="M83" s="6">
        <f>CB[[#This Row],[Fixed Pay]]/CB[[#This Row],[Total CTC]]</f>
        <v>0.869565217391304</v>
      </c>
      <c r="N83">
        <f>CB[[#This Row],[Total CTC]]-CB[[#This Row],[Industry Benchmark]]</f>
        <v>-48000</v>
      </c>
    </row>
    <row r="84" spans="1:14">
      <c r="A84">
        <v>83</v>
      </c>
      <c r="B84" t="s">
        <v>116</v>
      </c>
      <c r="C84" t="s">
        <v>15</v>
      </c>
      <c r="D84" t="s">
        <v>25</v>
      </c>
      <c r="E84" t="s">
        <v>17</v>
      </c>
      <c r="F84" t="s">
        <v>38</v>
      </c>
      <c r="G84">
        <v>55000</v>
      </c>
      <c r="H84">
        <v>19000</v>
      </c>
      <c r="I84">
        <f t="shared" si="3"/>
        <v>74000</v>
      </c>
      <c r="J84">
        <v>120000</v>
      </c>
      <c r="K84" s="12">
        <f t="shared" si="4"/>
        <v>-0.383333333333333</v>
      </c>
      <c r="L84" s="6">
        <f>CB[[#This Row],[Variable Pay]]/CB[[#This Row],[Total CTC]]</f>
        <v>0.256756756756757</v>
      </c>
      <c r="M84" s="6">
        <f>CB[[#This Row],[Fixed Pay]]/CB[[#This Row],[Total CTC]]</f>
        <v>0.743243243243243</v>
      </c>
      <c r="N84">
        <f>CB[[#This Row],[Total CTC]]-CB[[#This Row],[Industry Benchmark]]</f>
        <v>-46000</v>
      </c>
    </row>
    <row r="85" spans="1:14">
      <c r="A85">
        <v>84</v>
      </c>
      <c r="B85" t="s">
        <v>117</v>
      </c>
      <c r="C85" t="s">
        <v>36</v>
      </c>
      <c r="D85" t="s">
        <v>25</v>
      </c>
      <c r="E85" t="s">
        <v>29</v>
      </c>
      <c r="F85" t="s">
        <v>23</v>
      </c>
      <c r="G85">
        <v>95000</v>
      </c>
      <c r="H85">
        <v>15000</v>
      </c>
      <c r="I85">
        <f t="shared" si="3"/>
        <v>110000</v>
      </c>
      <c r="J85">
        <v>140000</v>
      </c>
      <c r="K85" s="12">
        <f t="shared" si="4"/>
        <v>-0.214285714285714</v>
      </c>
      <c r="L85" s="6">
        <f>CB[[#This Row],[Variable Pay]]/CB[[#This Row],[Total CTC]]</f>
        <v>0.136363636363636</v>
      </c>
      <c r="M85" s="6">
        <f>CB[[#This Row],[Fixed Pay]]/CB[[#This Row],[Total CTC]]</f>
        <v>0.863636363636364</v>
      </c>
      <c r="N85">
        <f>CB[[#This Row],[Total CTC]]-CB[[#This Row],[Industry Benchmark]]</f>
        <v>-30000</v>
      </c>
    </row>
    <row r="86" spans="1:14">
      <c r="A86">
        <v>85</v>
      </c>
      <c r="B86" t="s">
        <v>118</v>
      </c>
      <c r="C86" t="s">
        <v>32</v>
      </c>
      <c r="D86" t="s">
        <v>16</v>
      </c>
      <c r="E86" t="s">
        <v>29</v>
      </c>
      <c r="F86" t="s">
        <v>30</v>
      </c>
      <c r="G86">
        <v>80000</v>
      </c>
      <c r="H86">
        <v>10000</v>
      </c>
      <c r="I86">
        <f t="shared" si="3"/>
        <v>90000</v>
      </c>
      <c r="J86">
        <v>150000</v>
      </c>
      <c r="K86" s="12">
        <f t="shared" si="4"/>
        <v>-0.4</v>
      </c>
      <c r="L86" s="6">
        <f>CB[[#This Row],[Variable Pay]]/CB[[#This Row],[Total CTC]]</f>
        <v>0.111111111111111</v>
      </c>
      <c r="M86" s="6">
        <f>CB[[#This Row],[Fixed Pay]]/CB[[#This Row],[Total CTC]]</f>
        <v>0.888888888888889</v>
      </c>
      <c r="N86">
        <f>CB[[#This Row],[Total CTC]]-CB[[#This Row],[Industry Benchmark]]</f>
        <v>-60000</v>
      </c>
    </row>
    <row r="87" spans="1:14">
      <c r="A87">
        <v>86</v>
      </c>
      <c r="B87" t="s">
        <v>119</v>
      </c>
      <c r="C87" t="s">
        <v>45</v>
      </c>
      <c r="D87" t="s">
        <v>25</v>
      </c>
      <c r="E87" t="s">
        <v>47</v>
      </c>
      <c r="F87" t="s">
        <v>38</v>
      </c>
      <c r="G87">
        <v>50000</v>
      </c>
      <c r="H87">
        <v>14000</v>
      </c>
      <c r="I87">
        <f t="shared" si="3"/>
        <v>64000</v>
      </c>
      <c r="J87">
        <v>750000</v>
      </c>
      <c r="K87" s="12">
        <f t="shared" si="4"/>
        <v>-0.914666666666667</v>
      </c>
      <c r="L87" s="6">
        <f>CB[[#This Row],[Variable Pay]]/CB[[#This Row],[Total CTC]]</f>
        <v>0.21875</v>
      </c>
      <c r="M87" s="6">
        <f>CB[[#This Row],[Fixed Pay]]/CB[[#This Row],[Total CTC]]</f>
        <v>0.78125</v>
      </c>
      <c r="N87">
        <f>CB[[#This Row],[Total CTC]]-CB[[#This Row],[Industry Benchmark]]</f>
        <v>-686000</v>
      </c>
    </row>
    <row r="88" spans="1:14">
      <c r="A88">
        <v>87</v>
      </c>
      <c r="B88" t="s">
        <v>120</v>
      </c>
      <c r="C88" t="s">
        <v>15</v>
      </c>
      <c r="D88" t="s">
        <v>25</v>
      </c>
      <c r="E88" t="s">
        <v>26</v>
      </c>
      <c r="F88" t="s">
        <v>38</v>
      </c>
      <c r="G88">
        <v>90000</v>
      </c>
      <c r="H88">
        <v>14000</v>
      </c>
      <c r="I88">
        <f t="shared" si="3"/>
        <v>104000</v>
      </c>
      <c r="J88">
        <v>750000</v>
      </c>
      <c r="K88" s="12">
        <f t="shared" si="4"/>
        <v>-0.861333333333333</v>
      </c>
      <c r="L88" s="6">
        <f>CB[[#This Row],[Variable Pay]]/CB[[#This Row],[Total CTC]]</f>
        <v>0.134615384615385</v>
      </c>
      <c r="M88" s="6">
        <f>CB[[#This Row],[Fixed Pay]]/CB[[#This Row],[Total CTC]]</f>
        <v>0.865384615384615</v>
      </c>
      <c r="N88">
        <f>CB[[#This Row],[Total CTC]]-CB[[#This Row],[Industry Benchmark]]</f>
        <v>-646000</v>
      </c>
    </row>
    <row r="89" spans="1:14">
      <c r="A89">
        <v>88</v>
      </c>
      <c r="B89" t="s">
        <v>121</v>
      </c>
      <c r="C89" t="s">
        <v>20</v>
      </c>
      <c r="D89" t="s">
        <v>16</v>
      </c>
      <c r="E89" t="s">
        <v>29</v>
      </c>
      <c r="F89" t="s">
        <v>30</v>
      </c>
      <c r="G89">
        <v>55000</v>
      </c>
      <c r="H89">
        <v>19000</v>
      </c>
      <c r="I89">
        <f t="shared" si="3"/>
        <v>74000</v>
      </c>
      <c r="J89">
        <v>120000</v>
      </c>
      <c r="K89" s="12">
        <f t="shared" si="4"/>
        <v>-0.383333333333333</v>
      </c>
      <c r="L89" s="6">
        <f>CB[[#This Row],[Variable Pay]]/CB[[#This Row],[Total CTC]]</f>
        <v>0.256756756756757</v>
      </c>
      <c r="M89" s="6">
        <f>CB[[#This Row],[Fixed Pay]]/CB[[#This Row],[Total CTC]]</f>
        <v>0.743243243243243</v>
      </c>
      <c r="N89">
        <f>CB[[#This Row],[Total CTC]]-CB[[#This Row],[Industry Benchmark]]</f>
        <v>-46000</v>
      </c>
    </row>
    <row r="90" spans="1:14">
      <c r="A90">
        <v>89</v>
      </c>
      <c r="B90" t="s">
        <v>122</v>
      </c>
      <c r="C90" t="s">
        <v>15</v>
      </c>
      <c r="D90" t="s">
        <v>25</v>
      </c>
      <c r="E90" t="s">
        <v>22</v>
      </c>
      <c r="F90" t="s">
        <v>23</v>
      </c>
      <c r="G90">
        <v>65000</v>
      </c>
      <c r="H90">
        <v>12000</v>
      </c>
      <c r="I90">
        <f t="shared" si="3"/>
        <v>77000</v>
      </c>
      <c r="J90">
        <v>182500</v>
      </c>
      <c r="K90" s="12">
        <f t="shared" si="4"/>
        <v>-0.578082191780822</v>
      </c>
      <c r="L90" s="6">
        <f>CB[[#This Row],[Variable Pay]]/CB[[#This Row],[Total CTC]]</f>
        <v>0.155844155844156</v>
      </c>
      <c r="M90" s="6">
        <f>CB[[#This Row],[Fixed Pay]]/CB[[#This Row],[Total CTC]]</f>
        <v>0.844155844155844</v>
      </c>
      <c r="N90">
        <f>CB[[#This Row],[Total CTC]]-CB[[#This Row],[Industry Benchmark]]</f>
        <v>-105500</v>
      </c>
    </row>
    <row r="91" spans="1:14">
      <c r="A91">
        <v>90</v>
      </c>
      <c r="B91" t="s">
        <v>123</v>
      </c>
      <c r="C91" t="s">
        <v>15</v>
      </c>
      <c r="D91" t="s">
        <v>46</v>
      </c>
      <c r="E91" t="s">
        <v>47</v>
      </c>
      <c r="F91" t="s">
        <v>18</v>
      </c>
      <c r="G91">
        <v>70000</v>
      </c>
      <c r="H91">
        <v>12000</v>
      </c>
      <c r="I91">
        <f t="shared" si="3"/>
        <v>82000</v>
      </c>
      <c r="J91">
        <v>750000</v>
      </c>
      <c r="K91" s="12">
        <f t="shared" si="4"/>
        <v>-0.890666666666667</v>
      </c>
      <c r="L91" s="6">
        <f>CB[[#This Row],[Variable Pay]]/CB[[#This Row],[Total CTC]]</f>
        <v>0.146341463414634</v>
      </c>
      <c r="M91" s="6">
        <f>CB[[#This Row],[Fixed Pay]]/CB[[#This Row],[Total CTC]]</f>
        <v>0.853658536585366</v>
      </c>
      <c r="N91">
        <f>CB[[#This Row],[Total CTC]]-CB[[#This Row],[Industry Benchmark]]</f>
        <v>-668000</v>
      </c>
    </row>
    <row r="92" spans="1:14">
      <c r="A92">
        <v>91</v>
      </c>
      <c r="B92" t="s">
        <v>124</v>
      </c>
      <c r="C92" t="s">
        <v>32</v>
      </c>
      <c r="D92" t="s">
        <v>16</v>
      </c>
      <c r="E92" t="s">
        <v>26</v>
      </c>
      <c r="F92" t="s">
        <v>18</v>
      </c>
      <c r="G92">
        <v>80000</v>
      </c>
      <c r="H92">
        <v>12000</v>
      </c>
      <c r="I92">
        <f t="shared" si="3"/>
        <v>92000</v>
      </c>
      <c r="J92">
        <v>140000</v>
      </c>
      <c r="K92" s="12">
        <f t="shared" si="4"/>
        <v>-0.342857142857143</v>
      </c>
      <c r="L92" s="6">
        <f>CB[[#This Row],[Variable Pay]]/CB[[#This Row],[Total CTC]]</f>
        <v>0.130434782608696</v>
      </c>
      <c r="M92" s="6">
        <f>CB[[#This Row],[Fixed Pay]]/CB[[#This Row],[Total CTC]]</f>
        <v>0.869565217391304</v>
      </c>
      <c r="N92">
        <f>CB[[#This Row],[Total CTC]]-CB[[#This Row],[Industry Benchmark]]</f>
        <v>-48000</v>
      </c>
    </row>
    <row r="93" spans="1:14">
      <c r="A93">
        <v>92</v>
      </c>
      <c r="B93" t="s">
        <v>125</v>
      </c>
      <c r="C93" t="s">
        <v>15</v>
      </c>
      <c r="D93" t="s">
        <v>46</v>
      </c>
      <c r="E93" t="s">
        <v>22</v>
      </c>
      <c r="F93" t="s">
        <v>30</v>
      </c>
      <c r="G93">
        <v>75000</v>
      </c>
      <c r="H93">
        <v>15000</v>
      </c>
      <c r="I93">
        <f t="shared" si="3"/>
        <v>90000</v>
      </c>
      <c r="J93">
        <v>182500</v>
      </c>
      <c r="K93" s="12">
        <f t="shared" si="4"/>
        <v>-0.506849315068493</v>
      </c>
      <c r="L93" s="6">
        <f>CB[[#This Row],[Variable Pay]]/CB[[#This Row],[Total CTC]]</f>
        <v>0.166666666666667</v>
      </c>
      <c r="M93" s="6">
        <f>CB[[#This Row],[Fixed Pay]]/CB[[#This Row],[Total CTC]]</f>
        <v>0.833333333333333</v>
      </c>
      <c r="N93">
        <f>CB[[#This Row],[Total CTC]]-CB[[#This Row],[Industry Benchmark]]</f>
        <v>-92500</v>
      </c>
    </row>
    <row r="94" spans="1:14">
      <c r="A94">
        <v>93</v>
      </c>
      <c r="B94" t="s">
        <v>126</v>
      </c>
      <c r="C94" t="s">
        <v>45</v>
      </c>
      <c r="D94" t="s">
        <v>21</v>
      </c>
      <c r="E94" t="s">
        <v>29</v>
      </c>
      <c r="F94" t="s">
        <v>40</v>
      </c>
      <c r="G94">
        <v>90000</v>
      </c>
      <c r="H94">
        <v>15000</v>
      </c>
      <c r="I94">
        <f t="shared" si="3"/>
        <v>105000</v>
      </c>
      <c r="J94">
        <v>150000</v>
      </c>
      <c r="K94" s="12">
        <f t="shared" si="4"/>
        <v>-0.3</v>
      </c>
      <c r="L94" s="6">
        <f>CB[[#This Row],[Variable Pay]]/CB[[#This Row],[Total CTC]]</f>
        <v>0.142857142857143</v>
      </c>
      <c r="M94" s="6">
        <f>CB[[#This Row],[Fixed Pay]]/CB[[#This Row],[Total CTC]]</f>
        <v>0.857142857142857</v>
      </c>
      <c r="N94">
        <f>CB[[#This Row],[Total CTC]]-CB[[#This Row],[Industry Benchmark]]</f>
        <v>-45000</v>
      </c>
    </row>
    <row r="95" spans="1:14">
      <c r="A95">
        <v>94</v>
      </c>
      <c r="B95" t="s">
        <v>127</v>
      </c>
      <c r="C95" t="s">
        <v>20</v>
      </c>
      <c r="D95" t="s">
        <v>21</v>
      </c>
      <c r="E95" t="s">
        <v>47</v>
      </c>
      <c r="F95" t="s">
        <v>38</v>
      </c>
      <c r="G95">
        <v>90000</v>
      </c>
      <c r="H95">
        <v>19000</v>
      </c>
      <c r="I95">
        <f t="shared" si="3"/>
        <v>109000</v>
      </c>
      <c r="J95">
        <v>220000</v>
      </c>
      <c r="K95" s="12">
        <f t="shared" si="4"/>
        <v>-0.504545454545455</v>
      </c>
      <c r="L95" s="6">
        <f>CB[[#This Row],[Variable Pay]]/CB[[#This Row],[Total CTC]]</f>
        <v>0.174311926605505</v>
      </c>
      <c r="M95" s="6">
        <f>CB[[#This Row],[Fixed Pay]]/CB[[#This Row],[Total CTC]]</f>
        <v>0.825688073394495</v>
      </c>
      <c r="N95">
        <f>CB[[#This Row],[Total CTC]]-CB[[#This Row],[Industry Benchmark]]</f>
        <v>-111000</v>
      </c>
    </row>
    <row r="96" spans="1:14">
      <c r="A96">
        <v>95</v>
      </c>
      <c r="B96" t="s">
        <v>128</v>
      </c>
      <c r="C96" t="s">
        <v>15</v>
      </c>
      <c r="D96" t="s">
        <v>16</v>
      </c>
      <c r="E96" t="s">
        <v>17</v>
      </c>
      <c r="F96" t="s">
        <v>38</v>
      </c>
      <c r="G96">
        <v>80000</v>
      </c>
      <c r="H96">
        <v>14000</v>
      </c>
      <c r="I96">
        <f t="shared" si="3"/>
        <v>94000</v>
      </c>
      <c r="J96">
        <v>750000</v>
      </c>
      <c r="K96" s="12">
        <f t="shared" si="4"/>
        <v>-0.874666666666667</v>
      </c>
      <c r="L96" s="6">
        <f>CB[[#This Row],[Variable Pay]]/CB[[#This Row],[Total CTC]]</f>
        <v>0.148936170212766</v>
      </c>
      <c r="M96" s="6">
        <f>CB[[#This Row],[Fixed Pay]]/CB[[#This Row],[Total CTC]]</f>
        <v>0.851063829787234</v>
      </c>
      <c r="N96">
        <f>CB[[#This Row],[Total CTC]]-CB[[#This Row],[Industry Benchmark]]</f>
        <v>-656000</v>
      </c>
    </row>
    <row r="97" spans="1:14">
      <c r="A97">
        <v>96</v>
      </c>
      <c r="B97" t="s">
        <v>129</v>
      </c>
      <c r="C97" t="s">
        <v>20</v>
      </c>
      <c r="D97" t="s">
        <v>16</v>
      </c>
      <c r="E97" t="s">
        <v>47</v>
      </c>
      <c r="F97" t="s">
        <v>30</v>
      </c>
      <c r="G97">
        <v>55000</v>
      </c>
      <c r="H97">
        <v>12000</v>
      </c>
      <c r="I97">
        <f t="shared" si="3"/>
        <v>67000</v>
      </c>
      <c r="J97">
        <v>160000</v>
      </c>
      <c r="K97" s="12">
        <f t="shared" si="4"/>
        <v>-0.58125</v>
      </c>
      <c r="L97" s="6">
        <f>CB[[#This Row],[Variable Pay]]/CB[[#This Row],[Total CTC]]</f>
        <v>0.17910447761194</v>
      </c>
      <c r="M97" s="6">
        <f>CB[[#This Row],[Fixed Pay]]/CB[[#This Row],[Total CTC]]</f>
        <v>0.82089552238806</v>
      </c>
      <c r="N97">
        <f>CB[[#This Row],[Total CTC]]-CB[[#This Row],[Industry Benchmark]]</f>
        <v>-93000</v>
      </c>
    </row>
    <row r="98" spans="1:14">
      <c r="A98">
        <v>97</v>
      </c>
      <c r="B98" t="s">
        <v>130</v>
      </c>
      <c r="C98" t="s">
        <v>45</v>
      </c>
      <c r="D98" t="s">
        <v>46</v>
      </c>
      <c r="E98" t="s">
        <v>33</v>
      </c>
      <c r="F98" t="s">
        <v>40</v>
      </c>
      <c r="G98">
        <v>70000</v>
      </c>
      <c r="H98">
        <v>20000</v>
      </c>
      <c r="I98">
        <f t="shared" si="3"/>
        <v>90000</v>
      </c>
      <c r="J98">
        <v>135000</v>
      </c>
      <c r="K98" s="12">
        <f t="shared" si="4"/>
        <v>-0.333333333333333</v>
      </c>
      <c r="L98" s="6">
        <f>CB[[#This Row],[Variable Pay]]/CB[[#This Row],[Total CTC]]</f>
        <v>0.222222222222222</v>
      </c>
      <c r="M98" s="6">
        <f>CB[[#This Row],[Fixed Pay]]/CB[[#This Row],[Total CTC]]</f>
        <v>0.777777777777778</v>
      </c>
      <c r="N98">
        <f>CB[[#This Row],[Total CTC]]-CB[[#This Row],[Industry Benchmark]]</f>
        <v>-45000</v>
      </c>
    </row>
    <row r="99" spans="1:14">
      <c r="A99">
        <v>98</v>
      </c>
      <c r="B99" t="s">
        <v>131</v>
      </c>
      <c r="C99" t="s">
        <v>15</v>
      </c>
      <c r="D99" t="s">
        <v>16</v>
      </c>
      <c r="E99" t="s">
        <v>47</v>
      </c>
      <c r="F99" t="s">
        <v>30</v>
      </c>
      <c r="G99">
        <v>55000</v>
      </c>
      <c r="H99">
        <v>15000</v>
      </c>
      <c r="I99">
        <f t="shared" si="3"/>
        <v>70000</v>
      </c>
      <c r="J99">
        <v>220000</v>
      </c>
      <c r="K99" s="12">
        <f t="shared" si="4"/>
        <v>-0.681818181818182</v>
      </c>
      <c r="L99" s="6">
        <f>CB[[#This Row],[Variable Pay]]/CB[[#This Row],[Total CTC]]</f>
        <v>0.214285714285714</v>
      </c>
      <c r="M99" s="6">
        <f>CB[[#This Row],[Fixed Pay]]/CB[[#This Row],[Total CTC]]</f>
        <v>0.785714285714286</v>
      </c>
      <c r="N99">
        <f>CB[[#This Row],[Total CTC]]-CB[[#This Row],[Industry Benchmark]]</f>
        <v>-150000</v>
      </c>
    </row>
    <row r="100" spans="1:14">
      <c r="A100">
        <v>99</v>
      </c>
      <c r="B100" t="s">
        <v>132</v>
      </c>
      <c r="C100" t="s">
        <v>32</v>
      </c>
      <c r="D100" t="s">
        <v>25</v>
      </c>
      <c r="E100" t="s">
        <v>17</v>
      </c>
      <c r="F100" t="s">
        <v>18</v>
      </c>
      <c r="G100">
        <v>65000</v>
      </c>
      <c r="H100">
        <v>20000</v>
      </c>
      <c r="I100">
        <f t="shared" si="3"/>
        <v>85000</v>
      </c>
      <c r="J100">
        <v>160000</v>
      </c>
      <c r="K100" s="12">
        <f t="shared" si="4"/>
        <v>-0.46875</v>
      </c>
      <c r="L100" s="6">
        <f>CB[[#This Row],[Variable Pay]]/CB[[#This Row],[Total CTC]]</f>
        <v>0.235294117647059</v>
      </c>
      <c r="M100" s="6">
        <f>CB[[#This Row],[Fixed Pay]]/CB[[#This Row],[Total CTC]]</f>
        <v>0.764705882352941</v>
      </c>
      <c r="N100">
        <f>CB[[#This Row],[Total CTC]]-CB[[#This Row],[Industry Benchmark]]</f>
        <v>-75000</v>
      </c>
    </row>
    <row r="101" spans="1:14">
      <c r="A101">
        <v>100</v>
      </c>
      <c r="B101" t="s">
        <v>133</v>
      </c>
      <c r="C101" t="s">
        <v>32</v>
      </c>
      <c r="D101" t="s">
        <v>46</v>
      </c>
      <c r="E101" t="s">
        <v>47</v>
      </c>
      <c r="F101" t="s">
        <v>40</v>
      </c>
      <c r="G101">
        <v>80000</v>
      </c>
      <c r="H101">
        <v>13000</v>
      </c>
      <c r="I101">
        <f t="shared" si="3"/>
        <v>93000</v>
      </c>
      <c r="J101">
        <v>750000</v>
      </c>
      <c r="K101" s="12">
        <f t="shared" si="4"/>
        <v>-0.876</v>
      </c>
      <c r="L101" s="6">
        <f>CB[[#This Row],[Variable Pay]]/CB[[#This Row],[Total CTC]]</f>
        <v>0.139784946236559</v>
      </c>
      <c r="M101" s="6">
        <f>CB[[#This Row],[Fixed Pay]]/CB[[#This Row],[Total CTC]]</f>
        <v>0.860215053763441</v>
      </c>
      <c r="N101">
        <f>CB[[#This Row],[Total CTC]]-CB[[#This Row],[Industry Benchmark]]</f>
        <v>-657000</v>
      </c>
    </row>
  </sheetData>
  <pageMargins left="0.75" right="0.75" top="1" bottom="1" header="0.5" footer="0.5"/>
  <pageSetup paperSize="1" orientation="portrait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N35"/>
  <sheetViews>
    <sheetView workbookViewId="0">
      <selection activeCell="J41" sqref="J41"/>
    </sheetView>
  </sheetViews>
  <sheetFormatPr defaultColWidth="9" defaultRowHeight="13.8"/>
  <cols>
    <col min="1" max="1" width="14.7" customWidth="1"/>
    <col min="2" max="2" width="25" customWidth="1"/>
    <col min="3" max="3" width="23.6" customWidth="1"/>
    <col min="4" max="4" width="22.3" customWidth="1"/>
    <col min="5" max="5" width="6" customWidth="1"/>
    <col min="6" max="6" width="8.4" customWidth="1"/>
    <col min="7" max="7" width="13.9" customWidth="1"/>
    <col min="8" max="8" width="13.1" customWidth="1"/>
    <col min="9" max="9" width="29.1" customWidth="1"/>
    <col min="10" max="10" width="19.7" customWidth="1"/>
    <col min="11" max="11" width="22.6" customWidth="1"/>
    <col min="12" max="12" width="26.8" customWidth="1"/>
    <col min="13" max="13" width="22.3" customWidth="1"/>
    <col min="14" max="14" width="19.7" customWidth="1"/>
  </cols>
  <sheetData>
    <row r="2" spans="2:9">
      <c r="B2" s="7" t="s">
        <v>134</v>
      </c>
      <c r="C2" s="7"/>
      <c r="H2" s="7" t="s">
        <v>135</v>
      </c>
      <c r="I2" s="7"/>
    </row>
    <row r="4" spans="1:10">
      <c r="A4" t="s">
        <v>136</v>
      </c>
      <c r="B4" t="s">
        <v>137</v>
      </c>
      <c r="C4" t="s">
        <v>138</v>
      </c>
      <c r="D4" t="s">
        <v>139</v>
      </c>
      <c r="G4" t="s">
        <v>136</v>
      </c>
      <c r="H4" t="s">
        <v>137</v>
      </c>
      <c r="I4" t="s">
        <v>139</v>
      </c>
      <c r="J4" t="s">
        <v>138</v>
      </c>
    </row>
    <row r="5" spans="1:10">
      <c r="A5" s="4" t="s">
        <v>25</v>
      </c>
      <c r="B5" s="8">
        <v>75500</v>
      </c>
      <c r="C5" s="8">
        <v>91650</v>
      </c>
      <c r="D5" s="8">
        <v>16150</v>
      </c>
      <c r="G5" s="4" t="s">
        <v>20</v>
      </c>
      <c r="H5" s="8">
        <v>77307.6923076923</v>
      </c>
      <c r="I5" s="8">
        <v>15384.6153846154</v>
      </c>
      <c r="J5" s="8">
        <v>92692.3076923077</v>
      </c>
    </row>
    <row r="6" spans="1:10">
      <c r="A6" s="4" t="s">
        <v>16</v>
      </c>
      <c r="B6" s="8">
        <v>73750</v>
      </c>
      <c r="C6" s="8">
        <v>87400</v>
      </c>
      <c r="D6" s="8">
        <v>13650</v>
      </c>
      <c r="G6" s="4" t="s">
        <v>32</v>
      </c>
      <c r="H6" s="8">
        <v>76136.3636363636</v>
      </c>
      <c r="I6" s="8">
        <v>15454.5454545455</v>
      </c>
      <c r="J6" s="8">
        <v>91590.9090909091</v>
      </c>
    </row>
    <row r="7" spans="1:10">
      <c r="A7" s="4" t="s">
        <v>37</v>
      </c>
      <c r="B7" s="8">
        <v>75263.1578947368</v>
      </c>
      <c r="C7" s="8">
        <v>90789.4736842105</v>
      </c>
      <c r="D7" s="8">
        <v>15526.3157894737</v>
      </c>
      <c r="G7" s="4" t="s">
        <v>36</v>
      </c>
      <c r="H7" s="8">
        <v>79705.8823529412</v>
      </c>
      <c r="I7" s="8">
        <v>13941.1764705882</v>
      </c>
      <c r="J7" s="8">
        <v>93647.0588235294</v>
      </c>
    </row>
    <row r="8" spans="1:10">
      <c r="A8" s="4" t="s">
        <v>46</v>
      </c>
      <c r="B8" s="8">
        <v>70500</v>
      </c>
      <c r="C8" s="8">
        <v>84800</v>
      </c>
      <c r="D8" s="8">
        <v>14300</v>
      </c>
      <c r="G8" s="4" t="s">
        <v>15</v>
      </c>
      <c r="H8" s="8">
        <v>72575.7575757576</v>
      </c>
      <c r="I8" s="8">
        <v>14545.4545454545</v>
      </c>
      <c r="J8" s="8">
        <v>87121.2121212121</v>
      </c>
    </row>
    <row r="9" spans="1:10">
      <c r="A9" s="4" t="s">
        <v>21</v>
      </c>
      <c r="B9" s="8">
        <v>82380.9523809524</v>
      </c>
      <c r="C9" s="8">
        <v>97190.4761904762</v>
      </c>
      <c r="D9" s="8">
        <v>14809.5238095238</v>
      </c>
      <c r="G9" s="4" t="s">
        <v>45</v>
      </c>
      <c r="H9" s="8">
        <v>75000</v>
      </c>
      <c r="I9" s="8">
        <v>15400</v>
      </c>
      <c r="J9" s="8">
        <v>90400</v>
      </c>
    </row>
    <row r="10" spans="1:10">
      <c r="A10" s="4" t="s">
        <v>140</v>
      </c>
      <c r="B10" s="9">
        <v>75550</v>
      </c>
      <c r="C10" s="9">
        <v>90430</v>
      </c>
      <c r="D10" s="9">
        <v>14880</v>
      </c>
      <c r="G10" s="4" t="s">
        <v>140</v>
      </c>
      <c r="H10" s="8">
        <v>75550</v>
      </c>
      <c r="I10" s="8">
        <v>14880</v>
      </c>
      <c r="J10" s="8">
        <v>90430</v>
      </c>
    </row>
    <row r="14" spans="8:10">
      <c r="H14" s="7" t="s">
        <v>141</v>
      </c>
      <c r="I14" s="7"/>
      <c r="J14" s="7"/>
    </row>
    <row r="15" spans="1:12">
      <c r="A15" s="7" t="s">
        <v>142</v>
      </c>
      <c r="B15" s="7"/>
      <c r="C15" s="7"/>
      <c r="H15" t="s">
        <v>136</v>
      </c>
      <c r="I15" t="s">
        <v>143</v>
      </c>
      <c r="J15" t="s">
        <v>138</v>
      </c>
      <c r="K15" t="s">
        <v>144</v>
      </c>
      <c r="L15" t="s">
        <v>145</v>
      </c>
    </row>
    <row r="16" spans="1:12">
      <c r="A16" t="s">
        <v>136</v>
      </c>
      <c r="B16" t="s">
        <v>146</v>
      </c>
      <c r="C16" t="s">
        <v>147</v>
      </c>
      <c r="H16" s="4" t="s">
        <v>25</v>
      </c>
      <c r="I16" s="8">
        <v>246875</v>
      </c>
      <c r="J16" s="8">
        <v>91650</v>
      </c>
      <c r="K16" s="5">
        <v>-0.470199797633873</v>
      </c>
      <c r="L16" s="8">
        <v>-155225</v>
      </c>
    </row>
    <row r="17" spans="1:12">
      <c r="A17" s="4" t="s">
        <v>22</v>
      </c>
      <c r="B17" s="6">
        <v>0.157672643980624</v>
      </c>
      <c r="C17" s="6">
        <v>0.842327356019377</v>
      </c>
      <c r="H17" s="4" t="s">
        <v>16</v>
      </c>
      <c r="I17" s="8">
        <v>188875</v>
      </c>
      <c r="J17" s="8">
        <v>87400</v>
      </c>
      <c r="K17" s="5">
        <v>-0.441675261585193</v>
      </c>
      <c r="L17" s="8">
        <v>-101475</v>
      </c>
    </row>
    <row r="18" spans="1:12">
      <c r="A18" s="4" t="s">
        <v>26</v>
      </c>
      <c r="B18" s="6">
        <v>0.168491314257149</v>
      </c>
      <c r="C18" s="6">
        <v>0.831508685742851</v>
      </c>
      <c r="H18" s="4" t="s">
        <v>37</v>
      </c>
      <c r="I18" s="8">
        <v>181447.368421053</v>
      </c>
      <c r="J18" s="8">
        <v>90789.4736842105</v>
      </c>
      <c r="K18" s="5">
        <v>-0.398812499718232</v>
      </c>
      <c r="L18" s="8">
        <v>-90657.8947368421</v>
      </c>
    </row>
    <row r="19" spans="1:12">
      <c r="A19" s="4" t="s">
        <v>33</v>
      </c>
      <c r="B19" s="6">
        <v>0.170765738048698</v>
      </c>
      <c r="C19" s="6">
        <v>0.829234261951302</v>
      </c>
      <c r="H19" s="4" t="s">
        <v>46</v>
      </c>
      <c r="I19" s="8">
        <v>240750</v>
      </c>
      <c r="J19" s="8">
        <v>84800</v>
      </c>
      <c r="K19" s="5">
        <v>-0.472786567732116</v>
      </c>
      <c r="L19" s="8">
        <v>-155950</v>
      </c>
    </row>
    <row r="20" spans="1:12">
      <c r="A20" s="4" t="s">
        <v>17</v>
      </c>
      <c r="B20" s="6">
        <v>0.176492014732556</v>
      </c>
      <c r="C20" s="6">
        <v>0.823507985267444</v>
      </c>
      <c r="H20" s="4" t="s">
        <v>21</v>
      </c>
      <c r="I20" s="8">
        <v>150238.095238095</v>
      </c>
      <c r="J20" s="8">
        <v>97190.4761904762</v>
      </c>
      <c r="K20" s="5">
        <v>-0.320201562106324</v>
      </c>
      <c r="L20" s="8">
        <v>-53047.619047619</v>
      </c>
    </row>
    <row r="21" spans="1:12">
      <c r="A21" s="4" t="s">
        <v>29</v>
      </c>
      <c r="B21" s="6">
        <v>0.164147501437819</v>
      </c>
      <c r="C21" s="6">
        <v>0.835852498562181</v>
      </c>
      <c r="H21" s="4" t="s">
        <v>140</v>
      </c>
      <c r="I21" s="8">
        <v>201325</v>
      </c>
      <c r="J21" s="8">
        <v>90430</v>
      </c>
      <c r="K21" s="5">
        <v>-0.419949028379028</v>
      </c>
      <c r="L21" s="8">
        <v>-110895</v>
      </c>
    </row>
    <row r="22" spans="1:3">
      <c r="A22" s="4" t="s">
        <v>47</v>
      </c>
      <c r="B22" s="6">
        <v>0.167765879161423</v>
      </c>
      <c r="C22" s="6">
        <v>0.832234120838577</v>
      </c>
    </row>
    <row r="23" spans="1:3">
      <c r="A23" s="4" t="s">
        <v>140</v>
      </c>
      <c r="B23" s="6">
        <v>0.16767666965348</v>
      </c>
      <c r="C23" s="6">
        <v>0.83232333034652</v>
      </c>
    </row>
    <row r="27" spans="9:11">
      <c r="I27" s="7" t="s">
        <v>148</v>
      </c>
      <c r="J27" s="7"/>
      <c r="K27" s="7"/>
    </row>
    <row r="28" spans="8:9">
      <c r="H28" t="s">
        <v>149</v>
      </c>
      <c r="I28" t="s">
        <v>150</v>
      </c>
    </row>
    <row r="29" spans="8:14">
      <c r="H29" t="s">
        <v>136</v>
      </c>
      <c r="I29" t="s">
        <v>25</v>
      </c>
      <c r="J29" t="s">
        <v>16</v>
      </c>
      <c r="K29" t="s">
        <v>37</v>
      </c>
      <c r="L29" t="s">
        <v>46</v>
      </c>
      <c r="M29" t="s">
        <v>21</v>
      </c>
      <c r="N29" t="s">
        <v>140</v>
      </c>
    </row>
    <row r="30" spans="8:14">
      <c r="H30" s="4" t="s">
        <v>20</v>
      </c>
      <c r="I30" s="9">
        <v>2</v>
      </c>
      <c r="J30" s="9">
        <v>2</v>
      </c>
      <c r="K30" s="9">
        <v>1</v>
      </c>
      <c r="L30" s="9">
        <v>3</v>
      </c>
      <c r="M30" s="9">
        <v>5</v>
      </c>
      <c r="N30" s="9">
        <v>13</v>
      </c>
    </row>
    <row r="31" spans="8:14">
      <c r="H31" s="4" t="s">
        <v>32</v>
      </c>
      <c r="I31" s="10">
        <v>4</v>
      </c>
      <c r="J31" s="9">
        <v>4</v>
      </c>
      <c r="K31" s="9">
        <v>7</v>
      </c>
      <c r="L31" s="9">
        <v>3</v>
      </c>
      <c r="M31" s="9">
        <v>4</v>
      </c>
      <c r="N31" s="9">
        <v>22</v>
      </c>
    </row>
    <row r="32" spans="8:14">
      <c r="H32" s="4" t="s">
        <v>36</v>
      </c>
      <c r="I32" s="9">
        <v>2</v>
      </c>
      <c r="J32" s="9">
        <v>2</v>
      </c>
      <c r="K32" s="9">
        <v>5</v>
      </c>
      <c r="L32" s="9">
        <v>4</v>
      </c>
      <c r="M32" s="9">
        <v>4</v>
      </c>
      <c r="N32" s="9">
        <v>17</v>
      </c>
    </row>
    <row r="33" spans="8:14">
      <c r="H33" s="4" t="s">
        <v>15</v>
      </c>
      <c r="I33" s="9">
        <v>7</v>
      </c>
      <c r="J33" s="9">
        <v>10</v>
      </c>
      <c r="K33" s="9">
        <v>2</v>
      </c>
      <c r="L33" s="9">
        <v>8</v>
      </c>
      <c r="M33" s="9">
        <v>6</v>
      </c>
      <c r="N33" s="9">
        <v>33</v>
      </c>
    </row>
    <row r="34" spans="8:14">
      <c r="H34" s="4" t="s">
        <v>45</v>
      </c>
      <c r="I34" s="9">
        <v>5</v>
      </c>
      <c r="J34" s="9">
        <v>2</v>
      </c>
      <c r="K34" s="9">
        <v>4</v>
      </c>
      <c r="L34" s="9">
        <v>2</v>
      </c>
      <c r="M34" s="9">
        <v>2</v>
      </c>
      <c r="N34" s="9">
        <v>15</v>
      </c>
    </row>
    <row r="35" spans="8:14">
      <c r="H35" s="4" t="s">
        <v>140</v>
      </c>
      <c r="I35" s="9">
        <v>20</v>
      </c>
      <c r="J35" s="9">
        <v>20</v>
      </c>
      <c r="K35" s="9">
        <v>19</v>
      </c>
      <c r="L35" s="9">
        <v>20</v>
      </c>
      <c r="M35" s="9">
        <v>21</v>
      </c>
      <c r="N35" s="9">
        <v>100</v>
      </c>
    </row>
  </sheetData>
  <mergeCells count="5">
    <mergeCell ref="B2:C2"/>
    <mergeCell ref="H2:I2"/>
    <mergeCell ref="H14:J14"/>
    <mergeCell ref="A15:C15"/>
    <mergeCell ref="I27:K27"/>
  </mergeCells>
  <conditionalFormatting sqref="H27:M3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0"/>
  <sheetViews>
    <sheetView workbookViewId="0">
      <selection activeCell="C2" sqref="C2"/>
    </sheetView>
  </sheetViews>
  <sheetFormatPr defaultColWidth="9" defaultRowHeight="13.8"/>
  <cols>
    <col min="1" max="1" width="13.8" customWidth="1"/>
    <col min="2" max="2" width="22.6" customWidth="1"/>
    <col min="3" max="3" width="22" customWidth="1"/>
    <col min="4" max="4" width="14.9" customWidth="1"/>
    <col min="5" max="5" width="11.7" customWidth="1"/>
    <col min="7" max="7" width="14.6" customWidth="1"/>
    <col min="8" max="8" width="23.6" customWidth="1"/>
    <col min="9" max="9" width="26.2" customWidth="1"/>
    <col min="10" max="10" width="17.5" customWidth="1"/>
    <col min="13" max="13" width="22.6" customWidth="1"/>
    <col min="14" max="14" width="16.1" customWidth="1"/>
    <col min="15" max="15" width="7.7" customWidth="1"/>
    <col min="16" max="16" width="10.4" customWidth="1"/>
    <col min="17" max="17" width="7.8" customWidth="1"/>
    <col min="18" max="18" width="7.7" customWidth="1"/>
    <col min="19" max="19" width="11" customWidth="1"/>
  </cols>
  <sheetData>
    <row r="1" ht="17.4" spans="1:8">
      <c r="A1" s="3" t="s">
        <v>151</v>
      </c>
      <c r="B1" s="3"/>
      <c r="C1" s="3"/>
      <c r="D1" s="3"/>
      <c r="E1" s="3"/>
      <c r="F1" s="3"/>
      <c r="G1" s="3"/>
      <c r="H1" s="3"/>
    </row>
    <row r="3" spans="1:16">
      <c r="A3" t="s">
        <v>136</v>
      </c>
      <c r="B3" t="s">
        <v>144</v>
      </c>
      <c r="D3" t="s">
        <v>136</v>
      </c>
      <c r="E3" t="s">
        <v>149</v>
      </c>
      <c r="G3" t="s">
        <v>136</v>
      </c>
      <c r="H3" t="s">
        <v>144</v>
      </c>
      <c r="M3" t="s">
        <v>136</v>
      </c>
      <c r="N3" t="s">
        <v>152</v>
      </c>
      <c r="O3" t="s">
        <v>144</v>
      </c>
      <c r="P3" t="s">
        <v>149</v>
      </c>
    </row>
    <row r="4" spans="1:16">
      <c r="A4" s="4" t="s">
        <v>40</v>
      </c>
      <c r="B4" s="5">
        <v>-0.446807065028862</v>
      </c>
      <c r="D4" s="4" t="s">
        <v>40</v>
      </c>
      <c r="E4">
        <v>17</v>
      </c>
      <c r="G4" s="4" t="s">
        <v>25</v>
      </c>
      <c r="H4" s="5">
        <v>-0.470199797633873</v>
      </c>
      <c r="M4" s="4" t="s">
        <v>20</v>
      </c>
      <c r="N4">
        <v>2052500</v>
      </c>
      <c r="O4" s="5">
        <v>-0.372689017603401</v>
      </c>
      <c r="P4">
        <v>13</v>
      </c>
    </row>
    <row r="5" spans="1:16">
      <c r="A5" s="4" t="s">
        <v>38</v>
      </c>
      <c r="B5" s="5">
        <v>-0.395129782001357</v>
      </c>
      <c r="D5" s="4" t="s">
        <v>38</v>
      </c>
      <c r="E5">
        <v>18</v>
      </c>
      <c r="G5" s="4" t="s">
        <v>16</v>
      </c>
      <c r="H5" s="5">
        <v>-0.441675261585193</v>
      </c>
      <c r="M5" s="4" t="s">
        <v>32</v>
      </c>
      <c r="N5">
        <v>5220000</v>
      </c>
      <c r="O5" s="5">
        <v>-0.458434995600313</v>
      </c>
      <c r="P5">
        <v>22</v>
      </c>
    </row>
    <row r="6" spans="1:16">
      <c r="A6" s="4" t="s">
        <v>30</v>
      </c>
      <c r="B6" s="5">
        <v>-0.416773521506398</v>
      </c>
      <c r="D6" s="4" t="s">
        <v>30</v>
      </c>
      <c r="E6">
        <v>26</v>
      </c>
      <c r="G6" s="4" t="s">
        <v>37</v>
      </c>
      <c r="H6" s="5">
        <v>-0.398812499718232</v>
      </c>
      <c r="M6" s="4" t="s">
        <v>36</v>
      </c>
      <c r="N6">
        <v>2837500</v>
      </c>
      <c r="O6" s="5">
        <v>-0.293398678954078</v>
      </c>
      <c r="P6">
        <v>17</v>
      </c>
    </row>
    <row r="7" spans="1:16">
      <c r="A7" s="4" t="s">
        <v>23</v>
      </c>
      <c r="B7" s="5">
        <v>-0.415367252495759</v>
      </c>
      <c r="D7" s="4" t="s">
        <v>23</v>
      </c>
      <c r="E7">
        <v>21</v>
      </c>
      <c r="G7" s="4" t="s">
        <v>46</v>
      </c>
      <c r="H7" s="5">
        <v>-0.472786567732116</v>
      </c>
      <c r="M7" s="4" t="s">
        <v>15</v>
      </c>
      <c r="N7">
        <v>7102500</v>
      </c>
      <c r="O7" s="5">
        <v>-0.483412796499658</v>
      </c>
      <c r="P7">
        <v>33</v>
      </c>
    </row>
    <row r="8" spans="1:16">
      <c r="A8" s="4" t="s">
        <v>18</v>
      </c>
      <c r="B8" s="5">
        <v>-0.429334599711692</v>
      </c>
      <c r="D8" s="4" t="s">
        <v>18</v>
      </c>
      <c r="E8">
        <v>18</v>
      </c>
      <c r="G8" s="4" t="s">
        <v>21</v>
      </c>
      <c r="H8" s="5">
        <v>-0.320201562106324</v>
      </c>
      <c r="M8" s="4" t="s">
        <v>45</v>
      </c>
      <c r="N8">
        <v>2920000</v>
      </c>
      <c r="O8" s="5">
        <v>-0.408265058609579</v>
      </c>
      <c r="P8">
        <v>15</v>
      </c>
    </row>
    <row r="9" spans="1:16">
      <c r="A9" s="4" t="s">
        <v>140</v>
      </c>
      <c r="B9" s="5">
        <v>-0.419949028379028</v>
      </c>
      <c r="D9" s="4" t="s">
        <v>140</v>
      </c>
      <c r="E9">
        <v>100</v>
      </c>
      <c r="G9" s="4" t="s">
        <v>140</v>
      </c>
      <c r="H9" s="5">
        <v>-0.419949028379028</v>
      </c>
      <c r="M9" s="4" t="s">
        <v>140</v>
      </c>
      <c r="N9">
        <v>20132500</v>
      </c>
      <c r="O9" s="5">
        <v>-0.419949028379028</v>
      </c>
      <c r="P9">
        <v>100</v>
      </c>
    </row>
    <row r="12" spans="1:14">
      <c r="A12" t="s">
        <v>136</v>
      </c>
      <c r="B12" t="s">
        <v>153</v>
      </c>
      <c r="C12" t="s">
        <v>154</v>
      </c>
      <c r="D12" t="s">
        <v>155</v>
      </c>
      <c r="G12" t="s">
        <v>136</v>
      </c>
      <c r="H12" t="s">
        <v>146</v>
      </c>
      <c r="I12" t="s">
        <v>144</v>
      </c>
      <c r="J12" t="s">
        <v>153</v>
      </c>
      <c r="M12" t="s">
        <v>136</v>
      </c>
      <c r="N12" t="s">
        <v>149</v>
      </c>
    </row>
    <row r="13" spans="1:14">
      <c r="A13" s="4" t="s">
        <v>40</v>
      </c>
      <c r="B13">
        <v>1275000</v>
      </c>
      <c r="C13">
        <v>268000</v>
      </c>
      <c r="D13">
        <v>1543000</v>
      </c>
      <c r="G13" s="4" t="s">
        <v>20</v>
      </c>
      <c r="H13" s="6">
        <v>0.169921633916977</v>
      </c>
      <c r="I13" s="5">
        <v>-0.372689017603401</v>
      </c>
      <c r="J13">
        <v>1005000</v>
      </c>
      <c r="M13" s="4" t="s">
        <v>25</v>
      </c>
      <c r="N13">
        <v>20</v>
      </c>
    </row>
    <row r="14" spans="1:14">
      <c r="A14" s="4" t="s">
        <v>38</v>
      </c>
      <c r="B14">
        <v>1400000</v>
      </c>
      <c r="C14">
        <v>269000</v>
      </c>
      <c r="D14">
        <v>1669000</v>
      </c>
      <c r="G14" s="4" t="s">
        <v>32</v>
      </c>
      <c r="H14" s="6">
        <v>0.17096371053521</v>
      </c>
      <c r="I14" s="5">
        <v>-0.458434995600313</v>
      </c>
      <c r="J14">
        <v>1675000</v>
      </c>
      <c r="M14" s="4" t="s">
        <v>16</v>
      </c>
      <c r="N14">
        <v>20</v>
      </c>
    </row>
    <row r="15" spans="1:14">
      <c r="A15" s="4" t="s">
        <v>30</v>
      </c>
      <c r="B15">
        <v>1910000</v>
      </c>
      <c r="C15">
        <v>385000</v>
      </c>
      <c r="D15">
        <v>2295000</v>
      </c>
      <c r="G15" s="4" t="s">
        <v>36</v>
      </c>
      <c r="H15" s="6">
        <v>0.151048606915266</v>
      </c>
      <c r="I15" s="5">
        <v>-0.293398678954078</v>
      </c>
      <c r="J15">
        <v>1355000</v>
      </c>
      <c r="M15" s="4" t="s">
        <v>37</v>
      </c>
      <c r="N15">
        <v>19</v>
      </c>
    </row>
    <row r="16" spans="1:14">
      <c r="A16" s="4" t="s">
        <v>23</v>
      </c>
      <c r="B16">
        <v>1670000</v>
      </c>
      <c r="C16">
        <v>298000</v>
      </c>
      <c r="D16">
        <v>1968000</v>
      </c>
      <c r="G16" s="4" t="s">
        <v>15</v>
      </c>
      <c r="H16" s="6">
        <v>0.170379902077618</v>
      </c>
      <c r="I16" s="5">
        <v>-0.483412796499658</v>
      </c>
      <c r="J16">
        <v>2395000</v>
      </c>
      <c r="M16" s="4" t="s">
        <v>46</v>
      </c>
      <c r="N16">
        <v>20</v>
      </c>
    </row>
    <row r="17" spans="1:14">
      <c r="A17" s="4" t="s">
        <v>18</v>
      </c>
      <c r="B17">
        <v>1300000</v>
      </c>
      <c r="C17">
        <v>268000</v>
      </c>
      <c r="D17">
        <v>1568000</v>
      </c>
      <c r="G17" s="4" t="s">
        <v>45</v>
      </c>
      <c r="H17" s="6">
        <v>0.173808067102118</v>
      </c>
      <c r="I17" s="5">
        <v>-0.408265058609579</v>
      </c>
      <c r="J17">
        <v>1125000</v>
      </c>
      <c r="M17" s="4" t="s">
        <v>21</v>
      </c>
      <c r="N17">
        <v>21</v>
      </c>
    </row>
    <row r="18" spans="1:14">
      <c r="A18" s="4" t="s">
        <v>140</v>
      </c>
      <c r="B18">
        <v>7555000</v>
      </c>
      <c r="C18">
        <v>1488000</v>
      </c>
      <c r="D18">
        <v>9043000</v>
      </c>
      <c r="G18" s="4" t="s">
        <v>140</v>
      </c>
      <c r="H18" s="6">
        <v>0.16767666965348</v>
      </c>
      <c r="I18" s="5">
        <v>-0.419949028379028</v>
      </c>
      <c r="J18">
        <v>7555000</v>
      </c>
      <c r="M18" s="4" t="s">
        <v>140</v>
      </c>
      <c r="N18">
        <v>100</v>
      </c>
    </row>
    <row r="22" spans="1:14">
      <c r="A22" t="s">
        <v>136</v>
      </c>
      <c r="B22" t="s">
        <v>154</v>
      </c>
      <c r="C22" t="s">
        <v>155</v>
      </c>
      <c r="D22" t="s">
        <v>152</v>
      </c>
      <c r="G22" t="s">
        <v>136</v>
      </c>
      <c r="H22" t="s">
        <v>155</v>
      </c>
      <c r="I22" t="s">
        <v>152</v>
      </c>
      <c r="J22" t="s">
        <v>144</v>
      </c>
      <c r="M22" t="s">
        <v>144</v>
      </c>
      <c r="N22" t="s">
        <v>150</v>
      </c>
    </row>
    <row r="23" spans="1:19">
      <c r="A23" s="4" t="s">
        <v>25</v>
      </c>
      <c r="B23">
        <v>323000</v>
      </c>
      <c r="C23">
        <v>1833000</v>
      </c>
      <c r="D23">
        <v>4937500</v>
      </c>
      <c r="G23" s="4" t="s">
        <v>20</v>
      </c>
      <c r="H23">
        <v>1205000</v>
      </c>
      <c r="I23">
        <v>2052500</v>
      </c>
      <c r="J23" s="5">
        <v>-0.372689017603401</v>
      </c>
      <c r="M23" t="s">
        <v>136</v>
      </c>
      <c r="N23" t="s">
        <v>40</v>
      </c>
      <c r="O23" t="s">
        <v>38</v>
      </c>
      <c r="P23" t="s">
        <v>30</v>
      </c>
      <c r="Q23" t="s">
        <v>23</v>
      </c>
      <c r="R23" t="s">
        <v>18</v>
      </c>
      <c r="S23" t="s">
        <v>140</v>
      </c>
    </row>
    <row r="24" spans="1:19">
      <c r="A24" s="4" t="s">
        <v>16</v>
      </c>
      <c r="B24">
        <v>273000</v>
      </c>
      <c r="C24">
        <v>1748000</v>
      </c>
      <c r="D24">
        <v>3777500</v>
      </c>
      <c r="G24" s="4" t="s">
        <v>32</v>
      </c>
      <c r="H24">
        <v>2015000</v>
      </c>
      <c r="I24">
        <v>5220000</v>
      </c>
      <c r="J24" s="5">
        <v>-0.458434995600313</v>
      </c>
      <c r="M24" s="4" t="s">
        <v>22</v>
      </c>
      <c r="N24" s="5">
        <v>-0.377777777777778</v>
      </c>
      <c r="O24" s="5">
        <v>-0.421927321156773</v>
      </c>
      <c r="P24" s="5">
        <v>-0.489728992468718</v>
      </c>
      <c r="Q24" s="5">
        <v>-0.489877690802348</v>
      </c>
      <c r="R24" s="5">
        <v>-0.534246575342466</v>
      </c>
      <c r="S24" s="5">
        <v>-0.467208671433843</v>
      </c>
    </row>
    <row r="25" spans="1:19">
      <c r="A25" s="4" t="s">
        <v>37</v>
      </c>
      <c r="B25">
        <v>295000</v>
      </c>
      <c r="C25">
        <v>1725000</v>
      </c>
      <c r="D25">
        <v>3447500</v>
      </c>
      <c r="G25" s="4" t="s">
        <v>36</v>
      </c>
      <c r="H25">
        <v>1592000</v>
      </c>
      <c r="I25">
        <v>2837500</v>
      </c>
      <c r="J25" s="5">
        <v>-0.293398678954078</v>
      </c>
      <c r="M25" s="4" t="s">
        <v>26</v>
      </c>
      <c r="N25" s="5">
        <v>-0.434285714285714</v>
      </c>
      <c r="O25" s="5">
        <v>-0.528777777777778</v>
      </c>
      <c r="P25" s="5">
        <v>-0.247945205479452</v>
      </c>
      <c r="Q25" s="5">
        <v>-0.486771885521885</v>
      </c>
      <c r="R25" s="5">
        <v>-0.405505952380952</v>
      </c>
      <c r="S25" s="5">
        <v>-0.417729186065343</v>
      </c>
    </row>
    <row r="26" spans="1:19">
      <c r="A26" s="4" t="s">
        <v>46</v>
      </c>
      <c r="B26">
        <v>286000</v>
      </c>
      <c r="C26">
        <v>1696000</v>
      </c>
      <c r="D26">
        <v>4815000</v>
      </c>
      <c r="G26" s="4" t="s">
        <v>15</v>
      </c>
      <c r="H26">
        <v>2875000</v>
      </c>
      <c r="I26">
        <v>7102500</v>
      </c>
      <c r="J26" s="5">
        <v>-0.483412796499658</v>
      </c>
      <c r="M26" s="4" t="s">
        <v>33</v>
      </c>
      <c r="N26" s="5">
        <v>-0.333333333333333</v>
      </c>
      <c r="O26" s="5">
        <v>-0.119444444444444</v>
      </c>
      <c r="P26" s="5">
        <v>-0.416333333333333</v>
      </c>
      <c r="Q26" s="5">
        <v>-0.262361111111111</v>
      </c>
      <c r="R26" s="5">
        <v>-0.48283105022831</v>
      </c>
      <c r="S26" s="5">
        <v>-0.333927321156773</v>
      </c>
    </row>
    <row r="27" spans="1:19">
      <c r="A27" s="4" t="s">
        <v>21</v>
      </c>
      <c r="B27">
        <v>311000</v>
      </c>
      <c r="C27">
        <v>2041000</v>
      </c>
      <c r="D27">
        <v>3155000</v>
      </c>
      <c r="G27" s="4" t="s">
        <v>45</v>
      </c>
      <c r="H27">
        <v>1356000</v>
      </c>
      <c r="I27">
        <v>2920000</v>
      </c>
      <c r="J27" s="5">
        <v>-0.408265058609579</v>
      </c>
      <c r="M27" s="4" t="s">
        <v>17</v>
      </c>
      <c r="N27" s="5">
        <v>-0.462842465753425</v>
      </c>
      <c r="O27" s="5">
        <v>-0.395214285714286</v>
      </c>
      <c r="P27" s="5">
        <v>-0.553333333333333</v>
      </c>
      <c r="Q27" s="5">
        <v>-0.409259259259259</v>
      </c>
      <c r="R27" s="5">
        <v>-0.413416666666667</v>
      </c>
      <c r="S27" s="5">
        <v>-0.424676947110656</v>
      </c>
    </row>
    <row r="28" spans="1:19">
      <c r="A28" s="4" t="s">
        <v>140</v>
      </c>
      <c r="B28">
        <v>1488000</v>
      </c>
      <c r="C28">
        <v>9043000</v>
      </c>
      <c r="D28">
        <v>20132500</v>
      </c>
      <c r="G28" s="4" t="s">
        <v>140</v>
      </c>
      <c r="H28">
        <v>9043000</v>
      </c>
      <c r="I28">
        <v>20132500</v>
      </c>
      <c r="J28" s="5">
        <v>-0.419949028379028</v>
      </c>
      <c r="M28" s="4" t="s">
        <v>29</v>
      </c>
      <c r="N28" s="5">
        <v>-0.347300485008818</v>
      </c>
      <c r="O28" s="5"/>
      <c r="P28" s="5">
        <v>-0.372563953113801</v>
      </c>
      <c r="Q28" s="5">
        <v>-0.458738095238095</v>
      </c>
      <c r="R28" s="5"/>
      <c r="S28" s="5">
        <v>-0.382727940475237</v>
      </c>
    </row>
    <row r="29" spans="13:19">
      <c r="M29" s="4" t="s">
        <v>47</v>
      </c>
      <c r="N29" s="5">
        <v>-0.64306600249066</v>
      </c>
      <c r="O29" s="5">
        <v>-0.464206060606061</v>
      </c>
      <c r="P29" s="5">
        <v>-0.596767045454545</v>
      </c>
      <c r="Q29" s="5">
        <v>-0.296262626262626</v>
      </c>
      <c r="R29" s="5">
        <v>-0.411235185185185</v>
      </c>
      <c r="S29" s="5">
        <v>-0.486920299977378</v>
      </c>
    </row>
    <row r="30" spans="13:19">
      <c r="M30" s="4" t="s">
        <v>140</v>
      </c>
      <c r="N30" s="5">
        <v>-0.446807065028862</v>
      </c>
      <c r="O30" s="5">
        <v>-0.395129782001357</v>
      </c>
      <c r="P30" s="5">
        <v>-0.416773521506398</v>
      </c>
      <c r="Q30" s="5">
        <v>-0.415367252495759</v>
      </c>
      <c r="R30" s="5">
        <v>-0.429334599711693</v>
      </c>
      <c r="S30" s="5">
        <v>-0.419949028379028</v>
      </c>
    </row>
  </sheetData>
  <mergeCells count="1">
    <mergeCell ref="A1:H1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9:J48"/>
  <sheetViews>
    <sheetView zoomScale="80" zoomScaleNormal="80" topLeftCell="A13" workbookViewId="0">
      <selection activeCell="O48" sqref="O48"/>
    </sheetView>
  </sheetViews>
  <sheetFormatPr defaultColWidth="8.8" defaultRowHeight="13.8"/>
  <cols>
    <col min="2" max="2" width="13.9"/>
    <col min="3" max="3" width="17.2"/>
    <col min="4" max="4" width="8.5"/>
    <col min="5" max="5" width="10.4"/>
    <col min="6" max="6" width="6.6"/>
    <col min="7" max="7" width="9"/>
    <col min="8" max="8" width="11.8"/>
  </cols>
  <sheetData>
    <row r="9" spans="2:2">
      <c r="B9" t="s">
        <v>156</v>
      </c>
    </row>
    <row r="42" spans="5:6">
      <c r="E42" t="s">
        <v>149</v>
      </c>
      <c r="F42" t="s">
        <v>150</v>
      </c>
    </row>
    <row r="43" spans="5:10">
      <c r="E43" t="s">
        <v>136</v>
      </c>
      <c r="F43" t="s">
        <v>25</v>
      </c>
      <c r="G43" t="s">
        <v>16</v>
      </c>
      <c r="H43" t="s">
        <v>37</v>
      </c>
      <c r="I43" t="s">
        <v>46</v>
      </c>
      <c r="J43" t="s">
        <v>21</v>
      </c>
    </row>
    <row r="44" spans="5:10">
      <c r="E44" s="1" t="s">
        <v>20</v>
      </c>
      <c r="F44">
        <v>2</v>
      </c>
      <c r="G44">
        <v>2</v>
      </c>
      <c r="H44">
        <v>1</v>
      </c>
      <c r="I44">
        <v>3</v>
      </c>
      <c r="J44">
        <v>5</v>
      </c>
    </row>
    <row r="45" spans="5:10">
      <c r="E45" s="1" t="s">
        <v>32</v>
      </c>
      <c r="F45" s="2">
        <v>4</v>
      </c>
      <c r="G45">
        <v>4</v>
      </c>
      <c r="H45">
        <v>7</v>
      </c>
      <c r="I45">
        <v>3</v>
      </c>
      <c r="J45">
        <v>4</v>
      </c>
    </row>
    <row r="46" spans="5:10">
      <c r="E46" s="1" t="s">
        <v>36</v>
      </c>
      <c r="F46">
        <v>2</v>
      </c>
      <c r="G46">
        <v>2</v>
      </c>
      <c r="H46">
        <v>5</v>
      </c>
      <c r="I46">
        <v>4</v>
      </c>
      <c r="J46">
        <v>4</v>
      </c>
    </row>
    <row r="47" spans="5:10">
      <c r="E47" s="1" t="s">
        <v>15</v>
      </c>
      <c r="F47">
        <v>7</v>
      </c>
      <c r="G47">
        <v>10</v>
      </c>
      <c r="H47">
        <v>2</v>
      </c>
      <c r="I47">
        <v>8</v>
      </c>
      <c r="J47">
        <v>6</v>
      </c>
    </row>
    <row r="48" spans="5:10">
      <c r="E48" s="1" t="s">
        <v>45</v>
      </c>
      <c r="F48">
        <v>5</v>
      </c>
      <c r="G48">
        <v>2</v>
      </c>
      <c r="H48">
        <v>4</v>
      </c>
      <c r="I48">
        <v>2</v>
      </c>
      <c r="J48">
        <v>2</v>
      </c>
    </row>
  </sheetData>
  <conditionalFormatting sqref="E42:J4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DATA</vt:lpstr>
      <vt:lpstr>PT</vt:lpstr>
      <vt:lpstr>EXTRA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pteja</cp:lastModifiedBy>
  <dcterms:created xsi:type="dcterms:W3CDTF">2025-07-21T06:53:00Z</dcterms:created>
  <dcterms:modified xsi:type="dcterms:W3CDTF">2025-07-27T11:53:05Z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4A36AB73B4844CD3AB151AD5EE803876_12</vt:lpwstr>
  </property>
  <property fmtid="{D5CDD505-2E9C-101B-9397-08002B2CF9AE}" pid="3" name="KSOProductBuildVer">
    <vt:lpwstr>1033-12.2.0.21931</vt:lpwstr>
  </property>
</Properties>
</file>